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2325" windowWidth="9180" windowHeight="4500" activeTab="2"/>
  </bookViews>
  <sheets>
    <sheet name="DATOS" sheetId="15" r:id="rId1"/>
    <sheet name="CHEQUE" sheetId="11" r:id="rId2"/>
    <sheet name="POLIZA" sheetId="3" r:id="rId3"/>
    <sheet name="CONSECUTIVO" sheetId="16" r:id="rId4"/>
    <sheet name="Hoja1" sheetId="17" r:id="rId5"/>
  </sheets>
  <definedNames>
    <definedName name="_xlnm.Print_Area" localSheetId="1">CHEQUE!$A$3:$J$22</definedName>
    <definedName name="_xlnm.Print_Area" localSheetId="2">POLIZA!$B$2:$I$124</definedName>
  </definedNames>
  <calcPr calcId="124519"/>
</workbook>
</file>

<file path=xl/calcChain.xml><?xml version="1.0" encoding="utf-8"?>
<calcChain xmlns="http://schemas.openxmlformats.org/spreadsheetml/2006/main">
  <c r="D76" i="3"/>
  <c r="D77"/>
  <c r="E19" i="11"/>
  <c r="I19"/>
  <c r="E21"/>
  <c r="C1" i="15"/>
  <c r="H18" i="11" s="1"/>
  <c r="C6" i="15"/>
  <c r="G5" i="3"/>
  <c r="D8"/>
  <c r="G8"/>
  <c r="D10"/>
  <c r="F14"/>
  <c r="D20"/>
  <c r="G67"/>
  <c r="D70"/>
  <c r="G70"/>
  <c r="D72"/>
  <c r="F76"/>
  <c r="D82"/>
  <c r="D83"/>
</calcChain>
</file>

<file path=xl/sharedStrings.xml><?xml version="1.0" encoding="utf-8"?>
<sst xmlns="http://schemas.openxmlformats.org/spreadsheetml/2006/main" count="420" uniqueCount="192">
  <si>
    <t xml:space="preserve"> </t>
  </si>
  <si>
    <t>AL PORTADOR</t>
  </si>
  <si>
    <t>MAURICIO HUERTOS MALDONADO</t>
  </si>
  <si>
    <t>FELIPE HUERTOS CARRASCO</t>
  </si>
  <si>
    <t>HILATURAS SELECTAS, S.A. DE C.V.</t>
  </si>
  <si>
    <t>CIERRES BEST DE MEXICO, S.A. DE C.V.</t>
  </si>
  <si>
    <t>JAIME ROBERTO BOCIO CONTRERAS</t>
  </si>
  <si>
    <t>FELIPE NOGUEZ MARTINEZ</t>
  </si>
  <si>
    <t>AYDEE CARABEO CONTRERAS</t>
  </si>
  <si>
    <t xml:space="preserve">                                </t>
  </si>
  <si>
    <t>Para Abono en Cuenta del Beneficiario</t>
  </si>
  <si>
    <t>Para abono en cuenta del beneficiario</t>
  </si>
  <si>
    <t>FECHA:</t>
  </si>
  <si>
    <t>POLIZA DE CHEQUE</t>
  </si>
  <si>
    <t>copia del cheque</t>
  </si>
  <si>
    <t>CHEQ. No.</t>
  </si>
  <si>
    <t>concepto del pago</t>
  </si>
  <si>
    <t xml:space="preserve">        firma cheque recibido</t>
  </si>
  <si>
    <t xml:space="preserve">  CUENTA     SUBCUENTA                     NOMBRE </t>
  </si>
  <si>
    <t xml:space="preserve">          PARCIAL              DEBE                HABER </t>
  </si>
  <si>
    <t xml:space="preserve">                                                                                                         SUMAS IGUALES </t>
  </si>
  <si>
    <t>HECHO POR:                 REVISADO                AUTORIZADO                AUXILIARES                     DIARIO                POLIZA No.</t>
  </si>
  <si>
    <t xml:space="preserve">                                   C  O  P  I  A</t>
  </si>
  <si>
    <t xml:space="preserve">    C    A   N   C   E  L   A   D   O</t>
  </si>
  <si>
    <t>AAA ASESORES, S.C.</t>
  </si>
  <si>
    <t>AMERICAN EXPRESS CO (MEXICO), S.A. DE C.V.</t>
  </si>
  <si>
    <t>ANGELES PAREDES OLIVIA INES</t>
  </si>
  <si>
    <t>ASESORIA Y SOPORTE ADMINISTRATIVO, S.C.</t>
  </si>
  <si>
    <t>AUTOBUSES ESTRELLA BLANCA, S.A. DE C.V.</t>
  </si>
  <si>
    <t>AXTEL, S.A.DE C.V.</t>
  </si>
  <si>
    <t>BENITO BARRIOS ELOY</t>
  </si>
  <si>
    <t>BNEXUS MEXICO, S.DE R.L. DE C.V.</t>
  </si>
  <si>
    <t>BOLSAS LUISIANA, S.A. DE C.V.</t>
  </si>
  <si>
    <t>BORIS GUTMAN FERMON</t>
  </si>
  <si>
    <t xml:space="preserve">CAMARA NAL.DE LA IND.DEL VESTIDO </t>
  </si>
  <si>
    <t>CAP FORWARD, S.C.</t>
  </si>
  <si>
    <t>CASANOVA VALLEJO, S.A.DE C.V.</t>
  </si>
  <si>
    <t>CLAUDINA CORDOVA GOMEZ</t>
  </si>
  <si>
    <t>COMUNICACIONES NEXTEL DE MEXICO, S.A. DE C.V.</t>
  </si>
  <si>
    <t>CONFECCIONES EL ORGANAL, S.A. DE C.V.</t>
  </si>
  <si>
    <t>CPO.DE VIGIL.AUX.Y URBANA DEL EDO.DE MEX.</t>
  </si>
  <si>
    <t>EDUARDO SERGIO ESPINOSA JIMENEZ</t>
  </si>
  <si>
    <t>ESTAMPATEX DE LA LAGUNA, S.A. DE C.V.</t>
  </si>
  <si>
    <t>ETIFLEX, S.A. DE C.V.</t>
  </si>
  <si>
    <t>ETIQUETAS Y SISTEMAS DE MARCAJE, S.A.DE C.V.</t>
  </si>
  <si>
    <t>ETISIGN, S.A. DE C.V.</t>
  </si>
  <si>
    <t>GENOVEVA JIMENEZ DELGADO</t>
  </si>
  <si>
    <t>GRUPO HUERTOS, S.A.DE C.V.</t>
  </si>
  <si>
    <t>GRUPO INDUSTRIAL AURO, S.A. DE C.V.</t>
  </si>
  <si>
    <t>INMOBILIARIA AMATISTA, S.A. DE C.V.</t>
  </si>
  <si>
    <t>ISIDRO LABASTIDA MARTINEZ</t>
  </si>
  <si>
    <t>JESUS CABRERA ZAVALA</t>
  </si>
  <si>
    <t>JORGE RAUL ORIHUELA CRAIL</t>
  </si>
  <si>
    <t>JOSE PEREZ</t>
  </si>
  <si>
    <t>KIMEX COMERCIAL, S.A. DE C.V.</t>
  </si>
  <si>
    <t>LEVICOM SISTEMAS, S.C.</t>
  </si>
  <si>
    <t xml:space="preserve">LEVICOM, S.A. DE C.V. </t>
  </si>
  <si>
    <t>LUZ Y FUERZA DEL CENTRO</t>
  </si>
  <si>
    <t>MA. DOLORES FIGUEROA ESPEJEL</t>
  </si>
  <si>
    <t>MA.CONCEPCION AVELLANEDA VILLEGAS</t>
  </si>
  <si>
    <t>MANUFACTURAS Y ACABADO TEXTILES,S.A.DE C.V.</t>
  </si>
  <si>
    <t>MAQUILAS IMAGEN, S.A. DE C.V.</t>
  </si>
  <si>
    <t>MARIA ENRIQUETA SANTAMARIA PAZ</t>
  </si>
  <si>
    <t xml:space="preserve">MARIANA AIDEE CORTES HUERTOS </t>
  </si>
  <si>
    <t>MARIO LOPEZ SESMA</t>
  </si>
  <si>
    <t>MULTICIERRES, S.A. DE C.V.</t>
  </si>
  <si>
    <t>NESTOR JESUS RAMIREZ MEDINA</t>
  </si>
  <si>
    <t>NEXTEL DE MEXICO, S.A. DE C.V.</t>
  </si>
  <si>
    <t>PEDRO LOPEZ HERNANDEZ</t>
  </si>
  <si>
    <t>PLASTICOS MEXICAL, S.A. DE C.V.</t>
  </si>
  <si>
    <t>PRODUCTORA DE ATIZAPAN, S.A. DE C.V.</t>
  </si>
  <si>
    <t>RACSY, S.A. DE C.V.</t>
  </si>
  <si>
    <t>RADIOMOVIL DIPSA, S.A.DE C.V.</t>
  </si>
  <si>
    <t>RICARDO VEGA RIVERA</t>
  </si>
  <si>
    <t>SERVICIOS NACIONALES MUPA, S.A.DE C.V.</t>
  </si>
  <si>
    <t>SIMIL CUERO PLYMOUTH, S.A. DE C.V.</t>
  </si>
  <si>
    <t>SINTALAX, S.A. DE C.V.</t>
  </si>
  <si>
    <t>TAE COMPU OUTLET, S.A. DE C.V.</t>
  </si>
  <si>
    <t>TEJIDOS POLIGAL, S.A.DE C.V.</t>
  </si>
  <si>
    <t>TELEFONOS DE MEXICO, S.A.DE C.V.</t>
  </si>
  <si>
    <t>TIP TOP HANGERS, S.A. DE C.V.</t>
  </si>
  <si>
    <t>TRANSPORTES PITIC, S.A. DE C.V.</t>
  </si>
  <si>
    <t>UNION PAPELERA DE MEXICO, S.A.DE C.V.</t>
  </si>
  <si>
    <t>***(CERO PESOS  00/100 M.N.)***</t>
  </si>
  <si>
    <t>DEVOLUCION DE APORTACION</t>
  </si>
  <si>
    <t>GTOS A COMPROBAR DIRECC.GRAL.</t>
  </si>
  <si>
    <t>REPOSICION DE CAJA CHICA</t>
  </si>
  <si>
    <t xml:space="preserve">ANUNCIOS CLASIFICADOS </t>
  </si>
  <si>
    <t>IMPORTE:</t>
  </si>
  <si>
    <t>CANTIDAD CON LETRA:</t>
  </si>
  <si>
    <t>BENEFICIARIO EN CHEQUE:</t>
  </si>
  <si>
    <t>BENEFICIARIO EN POLIZA:</t>
  </si>
  <si>
    <t>,</t>
  </si>
  <si>
    <t>CONCEPTO EN POLIZA:</t>
  </si>
  <si>
    <t>PARA ABONO EN CUENTA:</t>
  </si>
  <si>
    <t>NUMERO DE CHEQUE:</t>
  </si>
  <si>
    <t>NO: ctrl N</t>
  </si>
  <si>
    <t>FECHA</t>
  </si>
  <si>
    <t>IMPORTE</t>
  </si>
  <si>
    <t>BENEFICIARIO</t>
  </si>
  <si>
    <t>NUMERO</t>
  </si>
  <si>
    <t>CONCEPTO</t>
  </si>
  <si>
    <t>EN CHEQUE</t>
  </si>
  <si>
    <t>EN POLIZA</t>
  </si>
  <si>
    <t>CONSECUTIVO DE CHEQUES 2004</t>
  </si>
  <si>
    <t>CHEQUE</t>
  </si>
  <si>
    <t>CUENTA 65501269584  Santander</t>
  </si>
  <si>
    <t>NOMINA QUINCENA 14 DEL 16 AL 31 DE JULIO 2004</t>
  </si>
  <si>
    <t>NOMINA SEMANAL PERIODO 31 DEL 02 AL 08 DE AGOSTO 2004</t>
  </si>
  <si>
    <t>NOMINA SEMANA No. 32 DEL 09 AL 15 AGOSTO 2004</t>
  </si>
  <si>
    <t>NOMINA QUINCENAL No. 15 DEL 01 AL 15 DE AGOSTO 2004</t>
  </si>
  <si>
    <t>INSTITUTO MEXICANO DEL SEGURO SOCIAL</t>
  </si>
  <si>
    <t>PAGO SUA JULIO 2004</t>
  </si>
  <si>
    <t>NOMINA SEMANAL PER. 33 DEL 16 AL 22 DE AGO 2004</t>
  </si>
  <si>
    <t>NOMINA SEMANAL PER. 34 DEL 23 AL 29 DE AGO 2004</t>
  </si>
  <si>
    <t>NOMINA QUINCENAL PER. 16 DEL 16 AL 31 DE AGO 2004</t>
  </si>
  <si>
    <t>NOMINA SEMANAL PER. 35 DEL 30-AGO AL 05-SEP 2004</t>
  </si>
  <si>
    <t>NOMINA QUINCENAL PER. 17 DEL 01 AL 15 SEP-2004</t>
  </si>
  <si>
    <t>NOMINA SEMANAL PER. 36 DEL 06-SEP AL 12-SEP 2004</t>
  </si>
  <si>
    <t>NOMINA SEMANAL PER. 37 DEL 13 AL 19 SEP-2004</t>
  </si>
  <si>
    <t>PAGO SUA AGOSTO 2004</t>
  </si>
  <si>
    <t>NOMINA SEMANAL PER. 38 DEL 20 AL 26 SEP-2004</t>
  </si>
  <si>
    <t>NOMINA QUINCENAL PERIODO 18 DEL 16 AL 30 SEP-2004</t>
  </si>
  <si>
    <t>NOMINA SEMANAL PERIODO 39 DEL 27-SEP AL 03-OCT 2004</t>
  </si>
  <si>
    <t>NOMINA SEMANAL PERIODO 40 DEL 04 AL 10 OCTUBRE 2004</t>
  </si>
  <si>
    <t>JAVIER VAZQUEZ BAUTISTA</t>
  </si>
  <si>
    <t>FINIQUITO LABORAL</t>
  </si>
  <si>
    <t>NOMINA SEMANAL PER. 41 DEL 11 AL 17 OCT-2004</t>
  </si>
  <si>
    <t>NOMINA QUINCENAL PER. 19 DEL 01 AL 15 OCT-2004</t>
  </si>
  <si>
    <t>PAGO SUA SEPTIEMBRE 2004</t>
  </si>
  <si>
    <t>MARIBEL LILIANA OSORIO CERVANTES</t>
  </si>
  <si>
    <t>PAGO FINIQUITO</t>
  </si>
  <si>
    <t>NOMINA SEMANAL PER. 42 DEL 18 AL 24 OCT-2004</t>
  </si>
  <si>
    <t>NOMINA SEMANAL PER. 43 DEL 25 AL 31 OCT-2004</t>
  </si>
  <si>
    <t>NOMINA QUINCENAL PER. 20 DEL 16 AL 31 OCT-2004</t>
  </si>
  <si>
    <t>NOMINA SEMANAL PER. 44 DEL 01 AL 07 NOV-2004</t>
  </si>
  <si>
    <t>CREDITO AL SALARIO</t>
  </si>
  <si>
    <t>CANCELADO</t>
  </si>
  <si>
    <t>AGUINALDO 2004 JOSE JUSTO SANCHEZ</t>
  </si>
  <si>
    <t>COMPL. NOMINA SEMANAL No. 5 DEL 31 AL 06 FEB-2005 FGM Y JHR</t>
  </si>
  <si>
    <t>NOMINA SEMANAL DEL 06 AL 12 DE JUNIO 05</t>
  </si>
  <si>
    <t>NOMINA QUINCENAL DEL 01 AL 15 DE JUNIO 2005</t>
  </si>
  <si>
    <t>NOMINA SEMANAL DEL 13 AL 19 DE JUNIO 05</t>
  </si>
  <si>
    <t>NOMINA SEMANAL DEL 20 AL 26 DE JUNIO 2005</t>
  </si>
  <si>
    <t>COMPLEMENTO DE NOMINA DEL 15 AL 30 DE JUN. 05</t>
  </si>
  <si>
    <t>COMPLEMENTO DE NOMINA SEMANAL</t>
  </si>
  <si>
    <t>COMPLEMENTO DE NOMINA SEMANAL-QUINCENAL</t>
  </si>
  <si>
    <t xml:space="preserve">CLAUDIA MONTIEL RUBIO </t>
  </si>
  <si>
    <t>COMPLEMENTO DE NOMINA</t>
  </si>
  <si>
    <t>NOMINA SEMANAL DEL 18 AL 24 DE JULIO 05</t>
  </si>
  <si>
    <t>COMPLEMENTO NOMINA SEMANAL Y 2DA QUINCENA JULIO</t>
  </si>
  <si>
    <t>COMPLEMENTO NOMINA SEMANAL 1 AL 7 AGOSTO</t>
  </si>
  <si>
    <t>COMPLEMENTO NOMINA SEMANAL 8 AL 14 AGOSTO</t>
  </si>
  <si>
    <t>COMPLEMENTO NOMINA QUINCENAL 1 AL 15 AGOSTO</t>
  </si>
  <si>
    <t>COMPLEMENTO NOMINA SEMANAL 15 AL 21 AGOSTO</t>
  </si>
  <si>
    <t>COMPLEMENTO NOMINA SEMANAL 22 AL 28 AGOSTO</t>
  </si>
  <si>
    <t>COMPLEMENTO NOMINA QUINCENAL 16 AL 31 AGOSTO</t>
  </si>
  <si>
    <t>NOMINA SEMANAL 29 AL 04 SEPTIEMBRE</t>
  </si>
  <si>
    <t>NOMINA SEMANAL No. 36 DEL 05 AL 11 SEPTIEMBRE</t>
  </si>
  <si>
    <t>DEVUELTO</t>
  </si>
  <si>
    <t>COMPLEMENTO NOMINA SEMANAL No. 37 DEL 12 AL 18 SEPTIEMBRE</t>
  </si>
  <si>
    <t>COMPLEMENTO NOMINA QUINCENAL No. 17 DEL 01 AL 15 SEPTIEMBRE</t>
  </si>
  <si>
    <t>COMPLEMENTO NOMINA SEMANAL No. 38 DEL 19 AL 25 SEPTIEMBRE</t>
  </si>
  <si>
    <t>NOMINA SEMANAL No. 39 DEL 26 AL 02 OCTUBRE</t>
  </si>
  <si>
    <t>NOMINA QUINCENAL No. 18 DEL 16 AL 30 SEPTIEMBRE</t>
  </si>
  <si>
    <t xml:space="preserve">COMPLEMENTO NOMINA QUINCENA No. 19 </t>
  </si>
  <si>
    <t>OSCAR DE LA CRUZ MORALES</t>
  </si>
  <si>
    <t>FINIQUITO LIQUIDACION</t>
  </si>
  <si>
    <t>FRANCISCO ARCE GARCIA</t>
  </si>
  <si>
    <t>FINIQUITO</t>
  </si>
  <si>
    <t>ALICIA MORENO CRUZ</t>
  </si>
  <si>
    <t>PAGO NOMINA RICARDO ESPINOSA PEÑA</t>
  </si>
  <si>
    <t>PAGO NOMINA SEMANA 50</t>
  </si>
  <si>
    <t>AGUINALDOS 2005</t>
  </si>
  <si>
    <t>ANTONIO RIOS LOPEZ</t>
  </si>
  <si>
    <t>GRATIFICACION 2005</t>
  </si>
  <si>
    <t>PAGO NOMINA SEMANAL  19 AL 25 DIC</t>
  </si>
  <si>
    <t>PAGO NOMINA QUINCENA  16 AL 30 DIC</t>
  </si>
  <si>
    <t>PAGO NOMINA SEMANA  1 AL 06 ENERO 2006</t>
  </si>
  <si>
    <t>PAGO NOMINA QUINCENA  1  ENERO 2006</t>
  </si>
  <si>
    <t>PAGO NOMINA SEMANA 4  ENERO 2006</t>
  </si>
  <si>
    <t>PAGO QUINCENA 16 AL 31  ENERO 2006</t>
  </si>
  <si>
    <t>PAGO SEMANA 30 AL 3  FEBRERO 2006</t>
  </si>
  <si>
    <t>PAGO SEMANA 6 AL10  FEBRERO 2006</t>
  </si>
  <si>
    <t>PAGO 1er QUINCENA FEBRERO 2006</t>
  </si>
  <si>
    <t>SI: ctrl S</t>
  </si>
  <si>
    <t>*** DOS MIL DOSCIENTOS OCHENTA Y DOS  PESOS  50/100 M.N. ***</t>
  </si>
  <si>
    <t>PAGO NOMINA SEMANA DEL 13 AL 19 DE FEBRERO 2006</t>
  </si>
  <si>
    <t xml:space="preserve">     RTR                    NLP                      NLP</t>
  </si>
  <si>
    <t xml:space="preserve">     RTR                    NLP                     NLP</t>
  </si>
  <si>
    <t>Norma Ledo Parra</t>
  </si>
  <si>
    <t>CTA.No. 60-51226353-8 Santander</t>
  </si>
</sst>
</file>

<file path=xl/styles.xml><?xml version="1.0" encoding="utf-8"?>
<styleSheet xmlns="http://schemas.openxmlformats.org/spreadsheetml/2006/main">
  <numFmts count="3">
    <numFmt numFmtId="164" formatCode="_(&quot;N$&quot;* #,##0.00_);_(&quot;N$&quot;* \(#,##0.00\);_(&quot;N$&quot;* &quot;-&quot;??_);_(@_)"/>
    <numFmt numFmtId="165" formatCode="&quot;$&quot;#,##0.00"/>
    <numFmt numFmtId="166" formatCode="d\ &quot;de&quot;\ mmmm\ &quot;de&quot;\ yyyy"/>
  </numFmts>
  <fonts count="13">
    <font>
      <sz val="10"/>
      <name val="Arial"/>
    </font>
    <font>
      <sz val="10"/>
      <name val="Arial"/>
    </font>
    <font>
      <sz val="11"/>
      <name val="Arial Narrow"/>
      <family val="2"/>
    </font>
    <font>
      <b/>
      <sz val="10"/>
      <name val="Arial"/>
      <family val="2"/>
    </font>
    <font>
      <b/>
      <sz val="11"/>
      <name val="Arial Narrow"/>
      <family val="2"/>
    </font>
    <font>
      <b/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0"/>
      <name val="Arial Narrow"/>
      <family val="2"/>
    </font>
    <font>
      <sz val="11"/>
      <name val="Times New Roman"/>
      <family val="1"/>
    </font>
    <font>
      <b/>
      <u/>
      <sz val="10"/>
      <name val="Arial"/>
      <family val="2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9">
    <xf numFmtId="0" fontId="0" fillId="0" borderId="0" xfId="0"/>
    <xf numFmtId="0" fontId="2" fillId="0" borderId="0" xfId="0" applyFont="1"/>
    <xf numFmtId="4" fontId="2" fillId="0" borderId="0" xfId="0" applyNumberFormat="1" applyFont="1"/>
    <xf numFmtId="0" fontId="3" fillId="0" borderId="0" xfId="0" applyFont="1"/>
    <xf numFmtId="0" fontId="4" fillId="0" borderId="0" xfId="0" applyFont="1"/>
    <xf numFmtId="14" fontId="4" fillId="0" borderId="0" xfId="0" applyNumberFormat="1" applyFont="1"/>
    <xf numFmtId="4" fontId="4" fillId="0" borderId="0" xfId="0" applyNumberFormat="1" applyFont="1"/>
    <xf numFmtId="0" fontId="5" fillId="0" borderId="0" xfId="0" applyFont="1"/>
    <xf numFmtId="0" fontId="0" fillId="0" borderId="1" xfId="0" applyBorder="1"/>
    <xf numFmtId="0" fontId="9" fillId="0" borderId="0" xfId="0" applyFont="1"/>
    <xf numFmtId="0" fontId="10" fillId="0" borderId="0" xfId="0" applyFont="1"/>
    <xf numFmtId="0" fontId="6" fillId="0" borderId="0" xfId="0" applyFont="1"/>
    <xf numFmtId="0" fontId="0" fillId="0" borderId="2" xfId="0" applyBorder="1"/>
    <xf numFmtId="0" fontId="6" fillId="0" borderId="3" xfId="0" applyFont="1" applyBorder="1" applyAlignment="1">
      <alignment horizontal="center"/>
    </xf>
    <xf numFmtId="0" fontId="0" fillId="0" borderId="4" xfId="0" applyBorder="1"/>
    <xf numFmtId="0" fontId="6" fillId="0" borderId="2" xfId="0" applyFon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6" fillId="0" borderId="0" xfId="0" applyFon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3" xfId="0" applyBorder="1"/>
    <xf numFmtId="0" fontId="7" fillId="3" borderId="0" xfId="0" applyFont="1" applyFill="1" applyBorder="1"/>
    <xf numFmtId="0" fontId="8" fillId="0" borderId="0" xfId="0" applyFont="1"/>
    <xf numFmtId="15" fontId="5" fillId="0" borderId="0" xfId="0" applyNumberFormat="1" applyFont="1"/>
    <xf numFmtId="4" fontId="5" fillId="0" borderId="0" xfId="1" applyNumberFormat="1" applyFont="1"/>
    <xf numFmtId="0" fontId="0" fillId="0" borderId="12" xfId="0" applyBorder="1"/>
    <xf numFmtId="0" fontId="6" fillId="2" borderId="0" xfId="0" applyFont="1" applyFill="1"/>
    <xf numFmtId="0" fontId="6" fillId="4" borderId="0" xfId="0" applyFont="1" applyFill="1"/>
    <xf numFmtId="0" fontId="6" fillId="2" borderId="0" xfId="0" applyFont="1" applyFill="1" applyBorder="1"/>
    <xf numFmtId="0" fontId="6" fillId="4" borderId="0" xfId="0" applyFont="1" applyFill="1" applyBorder="1"/>
    <xf numFmtId="0" fontId="0" fillId="5" borderId="0" xfId="0" applyFill="1"/>
    <xf numFmtId="0" fontId="5" fillId="5" borderId="0" xfId="0" applyFont="1" applyFill="1"/>
    <xf numFmtId="0" fontId="0" fillId="5" borderId="0" xfId="0" applyFill="1" applyBorder="1"/>
    <xf numFmtId="0" fontId="6" fillId="0" borderId="0" xfId="0" applyFont="1" applyFill="1" applyBorder="1"/>
    <xf numFmtId="15" fontId="6" fillId="0" borderId="0" xfId="0" applyNumberFormat="1" applyFont="1"/>
    <xf numFmtId="4" fontId="6" fillId="0" borderId="0" xfId="0" applyNumberFormat="1" applyFont="1"/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11" fillId="0" borderId="0" xfId="0" applyFont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4" fontId="3" fillId="0" borderId="0" xfId="0" applyNumberFormat="1" applyFont="1" applyAlignment="1">
      <alignment horizontal="center"/>
    </xf>
    <xf numFmtId="165" fontId="3" fillId="0" borderId="0" xfId="0" applyNumberFormat="1" applyFont="1" applyAlignment="1"/>
    <xf numFmtId="166" fontId="5" fillId="0" borderId="0" xfId="0" applyNumberFormat="1" applyFont="1" applyAlignment="1">
      <alignment horizontal="center"/>
    </xf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0" xfId="0" applyFill="1" applyBorder="1"/>
    <xf numFmtId="166" fontId="0" fillId="0" borderId="0" xfId="0" applyNumberFormat="1" applyFill="1" applyBorder="1"/>
    <xf numFmtId="0" fontId="0" fillId="0" borderId="6" xfId="0" applyFill="1" applyBorder="1"/>
    <xf numFmtId="4" fontId="0" fillId="0" borderId="0" xfId="0" applyNumberFormat="1" applyFill="1" applyBorder="1"/>
    <xf numFmtId="0" fontId="0" fillId="0" borderId="7" xfId="0" applyFill="1" applyBorder="1"/>
    <xf numFmtId="0" fontId="0" fillId="0" borderId="1" xfId="0" applyFill="1" applyBorder="1"/>
    <xf numFmtId="0" fontId="0" fillId="0" borderId="8" xfId="0" applyFill="1" applyBorder="1"/>
    <xf numFmtId="0" fontId="6" fillId="0" borderId="2" xfId="0" applyFont="1" applyFill="1" applyBorder="1"/>
    <xf numFmtId="0" fontId="6" fillId="0" borderId="3" xfId="0" applyFont="1" applyFill="1" applyBorder="1"/>
    <xf numFmtId="0" fontId="6" fillId="0" borderId="4" xfId="0" applyFont="1" applyFill="1" applyBorder="1"/>
    <xf numFmtId="0" fontId="0" fillId="0" borderId="0" xfId="0" applyFill="1"/>
    <xf numFmtId="0" fontId="12" fillId="0" borderId="0" xfId="0" applyFont="1" applyFill="1"/>
  </cellXfs>
  <cellStyles count="2">
    <cellStyle name="Moneda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I24"/>
  <sheetViews>
    <sheetView workbookViewId="0">
      <selection activeCell="C28" sqref="C28"/>
    </sheetView>
  </sheetViews>
  <sheetFormatPr baseColWidth="10" defaultRowHeight="12.75"/>
  <cols>
    <col min="1" max="1" width="25.7109375" customWidth="1"/>
    <col min="2" max="2" width="1.85546875" customWidth="1"/>
    <col min="3" max="3" width="24.140625" customWidth="1"/>
    <col min="4" max="4" width="1.85546875" customWidth="1"/>
    <col min="5" max="5" width="19.28515625" customWidth="1"/>
    <col min="6" max="6" width="1.85546875" customWidth="1"/>
    <col min="7" max="7" width="18.28515625" customWidth="1"/>
    <col min="8" max="8" width="2.140625" customWidth="1"/>
    <col min="9" max="9" width="19.7109375" customWidth="1"/>
  </cols>
  <sheetData>
    <row r="1" spans="1:9">
      <c r="A1" t="s">
        <v>12</v>
      </c>
      <c r="C1" s="31">
        <f ca="1">TODAY()</f>
        <v>39819</v>
      </c>
      <c r="D1" s="31"/>
    </row>
    <row r="2" spans="1:9">
      <c r="A2" t="s">
        <v>88</v>
      </c>
      <c r="C2" s="32">
        <v>2282.5</v>
      </c>
      <c r="D2" s="32"/>
    </row>
    <row r="3" spans="1:9" ht="14.25" customHeight="1">
      <c r="A3" t="s">
        <v>89</v>
      </c>
      <c r="C3" s="4" t="s">
        <v>186</v>
      </c>
      <c r="D3" s="4"/>
    </row>
    <row r="4" spans="1:9">
      <c r="A4" t="s">
        <v>95</v>
      </c>
      <c r="C4" s="7">
        <v>217</v>
      </c>
    </row>
    <row r="5" spans="1:9">
      <c r="A5" t="s">
        <v>90</v>
      </c>
      <c r="C5" s="47" t="s">
        <v>1</v>
      </c>
      <c r="D5" s="48"/>
      <c r="E5" s="49"/>
    </row>
    <row r="6" spans="1:9">
      <c r="A6" t="s">
        <v>91</v>
      </c>
      <c r="C6" s="7" t="str">
        <f>+C5</f>
        <v>AL PORTADOR</v>
      </c>
      <c r="D6" s="7"/>
    </row>
    <row r="7" spans="1:9" ht="13.5" thickBot="1">
      <c r="A7" t="s">
        <v>93</v>
      </c>
      <c r="C7" s="7" t="s">
        <v>187</v>
      </c>
      <c r="D7" s="7"/>
      <c r="G7" s="7"/>
    </row>
    <row r="8" spans="1:9" ht="13.5" thickBot="1">
      <c r="A8" t="s">
        <v>94</v>
      </c>
      <c r="C8" s="46" t="s">
        <v>185</v>
      </c>
      <c r="D8" s="33"/>
      <c r="E8" s="46" t="s">
        <v>96</v>
      </c>
      <c r="F8" s="33"/>
      <c r="G8" s="7"/>
    </row>
    <row r="9" spans="1:9" ht="7.5" customHeight="1">
      <c r="A9" s="38"/>
      <c r="B9" s="38"/>
      <c r="C9" s="39"/>
      <c r="D9" s="40"/>
      <c r="E9" s="39"/>
      <c r="F9" s="40"/>
      <c r="G9" s="39"/>
      <c r="H9" s="38"/>
      <c r="I9" s="38"/>
    </row>
    <row r="10" spans="1:9">
      <c r="A10" s="34" t="s">
        <v>23</v>
      </c>
      <c r="B10" s="35" t="s">
        <v>92</v>
      </c>
      <c r="C10" s="36" t="s">
        <v>34</v>
      </c>
      <c r="D10" s="37" t="s">
        <v>92</v>
      </c>
      <c r="E10" s="36" t="s">
        <v>7</v>
      </c>
      <c r="F10" s="37" t="s">
        <v>92</v>
      </c>
      <c r="G10" s="36" t="s">
        <v>57</v>
      </c>
      <c r="H10" s="37" t="s">
        <v>92</v>
      </c>
      <c r="I10" s="36" t="s">
        <v>71</v>
      </c>
    </row>
    <row r="11" spans="1:9">
      <c r="A11" s="36" t="s">
        <v>83</v>
      </c>
      <c r="B11" s="37" t="s">
        <v>92</v>
      </c>
      <c r="C11" s="36" t="s">
        <v>35</v>
      </c>
      <c r="D11" s="37" t="s">
        <v>92</v>
      </c>
      <c r="E11" s="36" t="s">
        <v>46</v>
      </c>
      <c r="F11" s="37" t="s">
        <v>92</v>
      </c>
      <c r="G11" s="36" t="s">
        <v>58</v>
      </c>
      <c r="H11" s="37" t="s">
        <v>92</v>
      </c>
      <c r="I11" s="36" t="s">
        <v>72</v>
      </c>
    </row>
    <row r="12" spans="1:9">
      <c r="A12" s="36" t="s">
        <v>24</v>
      </c>
      <c r="B12" s="37" t="s">
        <v>92</v>
      </c>
      <c r="C12" s="36" t="s">
        <v>36</v>
      </c>
      <c r="D12" s="37" t="s">
        <v>92</v>
      </c>
      <c r="E12" s="36" t="s">
        <v>47</v>
      </c>
      <c r="F12" s="37" t="s">
        <v>92</v>
      </c>
      <c r="G12" s="36" t="s">
        <v>59</v>
      </c>
      <c r="H12" s="37" t="s">
        <v>92</v>
      </c>
      <c r="I12" s="36" t="s">
        <v>86</v>
      </c>
    </row>
    <row r="13" spans="1:9">
      <c r="A13" s="36" t="s">
        <v>1</v>
      </c>
      <c r="B13" s="37" t="s">
        <v>92</v>
      </c>
      <c r="C13" s="36" t="s">
        <v>5</v>
      </c>
      <c r="D13" s="37" t="s">
        <v>92</v>
      </c>
      <c r="E13" s="36" t="s">
        <v>48</v>
      </c>
      <c r="F13" s="37" t="s">
        <v>92</v>
      </c>
      <c r="G13" s="36" t="s">
        <v>60</v>
      </c>
      <c r="H13" s="37" t="s">
        <v>92</v>
      </c>
      <c r="I13" s="36" t="s">
        <v>73</v>
      </c>
    </row>
    <row r="14" spans="1:9">
      <c r="A14" s="36" t="s">
        <v>25</v>
      </c>
      <c r="B14" s="37" t="s">
        <v>92</v>
      </c>
      <c r="C14" s="36" t="s">
        <v>37</v>
      </c>
      <c r="D14" s="37" t="s">
        <v>92</v>
      </c>
      <c r="E14" s="36" t="s">
        <v>85</v>
      </c>
      <c r="F14" s="37" t="s">
        <v>92</v>
      </c>
      <c r="G14" s="36" t="s">
        <v>61</v>
      </c>
      <c r="H14" s="37" t="s">
        <v>92</v>
      </c>
      <c r="I14" s="36"/>
    </row>
    <row r="15" spans="1:9">
      <c r="A15" s="36" t="s">
        <v>26</v>
      </c>
      <c r="B15" s="37" t="s">
        <v>92</v>
      </c>
      <c r="C15" s="36" t="s">
        <v>38</v>
      </c>
      <c r="D15" s="37" t="s">
        <v>92</v>
      </c>
      <c r="E15" s="36" t="s">
        <v>4</v>
      </c>
      <c r="F15" s="37" t="s">
        <v>92</v>
      </c>
      <c r="G15" s="36" t="s">
        <v>62</v>
      </c>
      <c r="H15" s="37" t="s">
        <v>92</v>
      </c>
      <c r="I15" s="36"/>
    </row>
    <row r="16" spans="1:9">
      <c r="A16" s="36" t="s">
        <v>87</v>
      </c>
      <c r="B16" s="37" t="s">
        <v>92</v>
      </c>
      <c r="C16" s="36" t="s">
        <v>39</v>
      </c>
      <c r="D16" s="37" t="s">
        <v>92</v>
      </c>
      <c r="E16" s="36" t="s">
        <v>49</v>
      </c>
      <c r="F16" s="37" t="s">
        <v>92</v>
      </c>
      <c r="G16" s="36" t="s">
        <v>63</v>
      </c>
      <c r="H16" s="37" t="s">
        <v>92</v>
      </c>
      <c r="I16" s="36" t="s">
        <v>74</v>
      </c>
    </row>
    <row r="17" spans="1:9">
      <c r="A17" s="36" t="s">
        <v>27</v>
      </c>
      <c r="B17" s="37" t="s">
        <v>92</v>
      </c>
      <c r="C17" s="36" t="s">
        <v>40</v>
      </c>
      <c r="D17" s="37" t="s">
        <v>92</v>
      </c>
      <c r="E17" s="36" t="s">
        <v>50</v>
      </c>
      <c r="F17" s="37" t="s">
        <v>92</v>
      </c>
      <c r="G17" s="36" t="s">
        <v>64</v>
      </c>
      <c r="H17" s="37" t="s">
        <v>92</v>
      </c>
      <c r="I17" s="36" t="s">
        <v>75</v>
      </c>
    </row>
    <row r="18" spans="1:9">
      <c r="A18" s="36" t="s">
        <v>28</v>
      </c>
      <c r="B18" s="37" t="s">
        <v>92</v>
      </c>
      <c r="C18" s="36" t="s">
        <v>84</v>
      </c>
      <c r="D18" s="37" t="s">
        <v>92</v>
      </c>
      <c r="E18" s="36" t="s">
        <v>6</v>
      </c>
      <c r="F18" s="37" t="s">
        <v>92</v>
      </c>
      <c r="G18" s="36" t="s">
        <v>2</v>
      </c>
      <c r="H18" s="37" t="s">
        <v>92</v>
      </c>
      <c r="I18" s="36" t="s">
        <v>76</v>
      </c>
    </row>
    <row r="19" spans="1:9">
      <c r="A19" s="36" t="s">
        <v>29</v>
      </c>
      <c r="B19" s="37" t="s">
        <v>92</v>
      </c>
      <c r="C19" s="36" t="s">
        <v>41</v>
      </c>
      <c r="D19" s="37" t="s">
        <v>92</v>
      </c>
      <c r="E19" s="36" t="s">
        <v>51</v>
      </c>
      <c r="F19" s="37" t="s">
        <v>92</v>
      </c>
      <c r="G19" s="36" t="s">
        <v>65</v>
      </c>
      <c r="H19" s="37" t="s">
        <v>92</v>
      </c>
      <c r="I19" s="36" t="s">
        <v>77</v>
      </c>
    </row>
    <row r="20" spans="1:9">
      <c r="A20" s="36" t="s">
        <v>8</v>
      </c>
      <c r="B20" s="37" t="s">
        <v>92</v>
      </c>
      <c r="C20" s="36" t="s">
        <v>42</v>
      </c>
      <c r="D20" s="37" t="s">
        <v>92</v>
      </c>
      <c r="E20" s="36" t="s">
        <v>52</v>
      </c>
      <c r="F20" s="37" t="s">
        <v>92</v>
      </c>
      <c r="G20" s="36" t="s">
        <v>66</v>
      </c>
      <c r="H20" s="37" t="s">
        <v>92</v>
      </c>
      <c r="I20" s="36" t="s">
        <v>78</v>
      </c>
    </row>
    <row r="21" spans="1:9">
      <c r="A21" s="36" t="s">
        <v>30</v>
      </c>
      <c r="B21" s="37" t="s">
        <v>92</v>
      </c>
      <c r="C21" s="36" t="s">
        <v>43</v>
      </c>
      <c r="D21" s="37" t="s">
        <v>92</v>
      </c>
      <c r="E21" s="36" t="s">
        <v>53</v>
      </c>
      <c r="F21" s="37" t="s">
        <v>92</v>
      </c>
      <c r="G21" s="36" t="s">
        <v>67</v>
      </c>
      <c r="H21" s="37" t="s">
        <v>92</v>
      </c>
      <c r="I21" s="36" t="s">
        <v>79</v>
      </c>
    </row>
    <row r="22" spans="1:9">
      <c r="A22" s="36" t="s">
        <v>31</v>
      </c>
      <c r="B22" s="37" t="s">
        <v>92</v>
      </c>
      <c r="C22" s="36" t="s">
        <v>44</v>
      </c>
      <c r="D22" s="37" t="s">
        <v>92</v>
      </c>
      <c r="E22" s="36" t="s">
        <v>54</v>
      </c>
      <c r="F22" s="37" t="s">
        <v>92</v>
      </c>
      <c r="G22" s="36" t="s">
        <v>68</v>
      </c>
      <c r="H22" s="37" t="s">
        <v>92</v>
      </c>
      <c r="I22" s="36" t="s">
        <v>80</v>
      </c>
    </row>
    <row r="23" spans="1:9">
      <c r="A23" s="36" t="s">
        <v>32</v>
      </c>
      <c r="B23" s="37" t="s">
        <v>92</v>
      </c>
      <c r="C23" s="36" t="s">
        <v>45</v>
      </c>
      <c r="D23" s="37" t="s">
        <v>92</v>
      </c>
      <c r="E23" s="36" t="s">
        <v>55</v>
      </c>
      <c r="F23" s="37" t="s">
        <v>92</v>
      </c>
      <c r="G23" s="36" t="s">
        <v>69</v>
      </c>
      <c r="H23" s="37" t="s">
        <v>92</v>
      </c>
      <c r="I23" s="36" t="s">
        <v>81</v>
      </c>
    </row>
    <row r="24" spans="1:9">
      <c r="A24" s="36" t="s">
        <v>33</v>
      </c>
      <c r="B24" s="37" t="s">
        <v>92</v>
      </c>
      <c r="C24" s="36" t="s">
        <v>3</v>
      </c>
      <c r="D24" s="37" t="s">
        <v>92</v>
      </c>
      <c r="E24" s="36" t="s">
        <v>56</v>
      </c>
      <c r="F24" s="37" t="s">
        <v>92</v>
      </c>
      <c r="G24" s="36" t="s">
        <v>70</v>
      </c>
      <c r="H24" s="37" t="s">
        <v>92</v>
      </c>
      <c r="I24" s="36" t="s">
        <v>82</v>
      </c>
    </row>
  </sheetData>
  <phoneticPr fontId="0" type="noConversion"/>
  <pageMargins left="0.75" right="0.75" top="1" bottom="1" header="0" footer="0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E2:P47"/>
  <sheetViews>
    <sheetView topLeftCell="B9" workbookViewId="0">
      <selection activeCell="G26" sqref="G26"/>
    </sheetView>
  </sheetViews>
  <sheetFormatPr baseColWidth="10" defaultRowHeight="12.75"/>
  <cols>
    <col min="7" max="7" width="11.28515625" customWidth="1"/>
    <col min="8" max="8" width="8" customWidth="1"/>
    <col min="9" max="9" width="10.28515625" customWidth="1"/>
    <col min="10" max="10" width="9.7109375" customWidth="1"/>
  </cols>
  <sheetData>
    <row r="2" spans="5:16" ht="15.75" customHeight="1"/>
    <row r="3" spans="5:16" ht="9" customHeight="1"/>
    <row r="4" spans="5:16" ht="18.75" customHeight="1"/>
    <row r="5" spans="5:16" ht="17.25" customHeight="1">
      <c r="E5" s="3"/>
      <c r="F5" s="3"/>
      <c r="G5" s="3"/>
      <c r="H5" s="3"/>
      <c r="I5" s="5"/>
      <c r="J5" s="3"/>
      <c r="L5" s="3"/>
      <c r="M5" s="3"/>
      <c r="N5" s="3"/>
      <c r="O5" s="5"/>
      <c r="P5" s="3"/>
    </row>
    <row r="6" spans="5:16" ht="19.5" customHeight="1">
      <c r="E6" s="4"/>
      <c r="F6" s="4"/>
      <c r="G6" s="4"/>
      <c r="H6" s="4"/>
      <c r="I6" s="50"/>
      <c r="J6" s="50"/>
      <c r="L6" s="4"/>
      <c r="M6" s="4"/>
      <c r="N6" s="4"/>
      <c r="O6" s="50"/>
      <c r="P6" s="50"/>
    </row>
    <row r="7" spans="5:16" ht="5.25" customHeight="1">
      <c r="E7" s="4"/>
      <c r="F7" s="4"/>
      <c r="G7" s="4"/>
      <c r="H7" s="4"/>
      <c r="I7" s="5"/>
      <c r="J7" s="6"/>
      <c r="L7" s="4"/>
      <c r="M7" s="4"/>
      <c r="N7" s="4"/>
      <c r="O7" s="5"/>
      <c r="P7" s="6"/>
    </row>
    <row r="8" spans="5:16" ht="16.5">
      <c r="E8" s="4"/>
      <c r="F8" s="4"/>
      <c r="G8" s="4"/>
      <c r="H8" s="4"/>
      <c r="I8" s="4"/>
      <c r="J8" s="4"/>
      <c r="L8" s="4"/>
      <c r="M8" s="4"/>
      <c r="N8" s="4"/>
      <c r="O8" s="4"/>
      <c r="P8" s="4"/>
    </row>
    <row r="9" spans="5:16" ht="16.5">
      <c r="E9" s="1"/>
      <c r="F9" s="9"/>
      <c r="G9" s="10"/>
      <c r="H9" s="10"/>
      <c r="I9" s="10"/>
      <c r="J9" s="1"/>
      <c r="L9" s="1"/>
      <c r="M9" s="9"/>
      <c r="N9" s="10"/>
      <c r="O9" s="10"/>
      <c r="P9" s="1"/>
    </row>
    <row r="10" spans="5:16" ht="16.5">
      <c r="E10" s="1"/>
      <c r="F10" s="1"/>
      <c r="G10" s="1"/>
      <c r="H10" s="1"/>
      <c r="I10" s="1"/>
      <c r="J10" s="1"/>
      <c r="L10" s="1"/>
      <c r="M10" s="1"/>
      <c r="N10" s="1"/>
      <c r="O10" s="1"/>
      <c r="P10" s="1"/>
    </row>
    <row r="11" spans="5:16" ht="16.5">
      <c r="E11" s="1"/>
      <c r="F11" s="1"/>
      <c r="G11" s="1"/>
      <c r="H11" s="1"/>
      <c r="I11" s="1"/>
      <c r="J11" s="1"/>
      <c r="L11" s="1"/>
      <c r="M11" s="1"/>
      <c r="N11" s="1"/>
      <c r="O11" s="1"/>
      <c r="P11" s="1"/>
    </row>
    <row r="12" spans="5:16" ht="15" customHeight="1">
      <c r="E12" s="1"/>
      <c r="F12" s="1"/>
      <c r="G12" s="1"/>
      <c r="H12" s="1"/>
      <c r="I12" s="1"/>
      <c r="J12" s="1"/>
      <c r="L12" s="1"/>
      <c r="M12" s="1"/>
      <c r="N12" s="1"/>
      <c r="O12" s="1"/>
      <c r="P12" s="1"/>
    </row>
    <row r="13" spans="5:16" ht="16.5">
      <c r="E13" s="1"/>
      <c r="F13" s="1"/>
      <c r="G13" s="1"/>
      <c r="H13" s="1"/>
      <c r="I13" s="1"/>
      <c r="J13" s="1"/>
      <c r="L13" s="1"/>
      <c r="M13" s="1"/>
      <c r="N13" s="1"/>
      <c r="O13" s="1"/>
      <c r="P13" s="1"/>
    </row>
    <row r="14" spans="5:16" ht="16.5" customHeight="1">
      <c r="E14" s="1"/>
      <c r="F14" s="1"/>
      <c r="G14" s="1"/>
      <c r="H14" s="1"/>
      <c r="I14" s="1"/>
      <c r="J14" s="1"/>
      <c r="L14" s="1"/>
      <c r="M14" s="1"/>
      <c r="N14" s="1"/>
      <c r="O14" s="1"/>
      <c r="P14" s="1"/>
    </row>
    <row r="15" spans="5:16" ht="5.25" customHeight="1">
      <c r="E15" s="1"/>
      <c r="F15" s="1"/>
      <c r="G15" s="1"/>
      <c r="H15" s="1"/>
      <c r="I15" s="1"/>
      <c r="J15" s="1"/>
      <c r="L15" s="1"/>
      <c r="M15" s="1"/>
      <c r="N15" s="1"/>
      <c r="O15" s="1"/>
      <c r="P15" s="1"/>
    </row>
    <row r="17" spans="5:16" ht="16.5" customHeight="1"/>
    <row r="18" spans="5:16" ht="15.75" customHeight="1">
      <c r="E18" s="3"/>
      <c r="F18" s="3"/>
      <c r="H18" s="52">
        <f ca="1">+DATOS!C1</f>
        <v>39819</v>
      </c>
      <c r="I18" s="52"/>
      <c r="J18" s="52"/>
      <c r="L18" s="3"/>
      <c r="M18" s="3"/>
      <c r="N18" s="3"/>
      <c r="O18" s="5"/>
      <c r="P18" s="3"/>
    </row>
    <row r="19" spans="5:16" ht="24.75" customHeight="1">
      <c r="E19" s="4" t="str">
        <f>+DATOS!C5</f>
        <v>AL PORTADOR</v>
      </c>
      <c r="F19" s="4"/>
      <c r="G19" s="4"/>
      <c r="H19" s="4"/>
      <c r="I19" s="51">
        <f>+DATOS!C2</f>
        <v>2282.5</v>
      </c>
      <c r="J19" s="51"/>
      <c r="L19" s="4"/>
      <c r="M19" s="4"/>
      <c r="N19" s="4"/>
      <c r="O19" s="50"/>
      <c r="P19" s="50"/>
    </row>
    <row r="20" spans="5:16" ht="6.75" customHeight="1">
      <c r="E20" s="4"/>
      <c r="F20" s="4"/>
      <c r="G20" s="4"/>
      <c r="H20" s="4"/>
      <c r="I20" s="5"/>
      <c r="J20" s="6"/>
      <c r="L20" s="4"/>
      <c r="M20" s="4"/>
      <c r="N20" s="4"/>
      <c r="O20" s="5"/>
      <c r="P20" s="6"/>
    </row>
    <row r="21" spans="5:16" ht="12.75" customHeight="1">
      <c r="E21" s="4" t="str">
        <f>+DATOS!C3</f>
        <v>*** DOS MIL DOSCIENTOS OCHENTA Y DOS  PESOS  50/100 M.N. ***</v>
      </c>
      <c r="F21" s="4"/>
      <c r="G21" s="4"/>
      <c r="H21" s="4"/>
      <c r="I21" s="4"/>
      <c r="J21" s="4"/>
      <c r="L21" s="4"/>
      <c r="M21" s="4"/>
      <c r="N21" s="4"/>
      <c r="O21" s="4"/>
      <c r="P21" s="4"/>
    </row>
    <row r="22" spans="5:16" ht="16.5">
      <c r="F22" t="s">
        <v>9</v>
      </c>
      <c r="G22" s="7"/>
      <c r="H22" s="7"/>
      <c r="L22" s="1"/>
      <c r="M22" s="9"/>
      <c r="N22" s="1"/>
      <c r="O22" s="1"/>
      <c r="P22" s="2"/>
    </row>
    <row r="23" spans="5:16" ht="16.5">
      <c r="E23" s="1"/>
      <c r="F23" s="1"/>
      <c r="G23" s="1" t="s">
        <v>0</v>
      </c>
      <c r="H23" s="1"/>
      <c r="I23" s="1"/>
      <c r="J23" s="1"/>
      <c r="L23" s="1"/>
      <c r="M23" s="1"/>
      <c r="N23" s="1"/>
      <c r="O23" s="1"/>
      <c r="P23" s="1"/>
    </row>
    <row r="24" spans="5:16" ht="16.5">
      <c r="E24" s="1"/>
      <c r="F24" s="1"/>
      <c r="G24" s="1"/>
      <c r="H24" s="1"/>
      <c r="I24" s="1"/>
      <c r="J24" s="1"/>
      <c r="L24" s="1"/>
      <c r="M24" s="1"/>
      <c r="N24" s="1"/>
      <c r="O24" s="1"/>
      <c r="P24" s="1"/>
    </row>
    <row r="25" spans="5:16" ht="16.5">
      <c r="E25" s="1"/>
      <c r="F25" s="1"/>
      <c r="G25" s="1"/>
      <c r="H25" s="1"/>
      <c r="I25" s="1"/>
      <c r="J25" s="1"/>
      <c r="L25" s="1"/>
      <c r="M25" s="1"/>
      <c r="N25" s="1"/>
      <c r="O25" s="1"/>
      <c r="P25" s="1"/>
    </row>
    <row r="26" spans="5:16" ht="16.5">
      <c r="E26" s="1"/>
      <c r="F26" s="1"/>
      <c r="G26" s="7" t="s">
        <v>11</v>
      </c>
      <c r="H26" s="7"/>
      <c r="I26" s="1"/>
      <c r="J26" s="1"/>
      <c r="L26" s="1"/>
      <c r="M26" s="1"/>
      <c r="N26" s="1"/>
      <c r="O26" s="1"/>
      <c r="P26" s="1"/>
    </row>
    <row r="27" spans="5:16" ht="16.5">
      <c r="E27" s="1"/>
      <c r="F27" s="1"/>
      <c r="G27" s="1"/>
      <c r="H27" s="1"/>
      <c r="I27" s="1"/>
      <c r="J27" s="1"/>
      <c r="L27" s="1"/>
      <c r="M27" s="1"/>
      <c r="N27" s="1"/>
      <c r="O27" s="1"/>
      <c r="P27" s="1"/>
    </row>
    <row r="30" spans="5:16" ht="17.25" customHeight="1">
      <c r="E30" s="3"/>
      <c r="F30" s="3" t="s">
        <v>0</v>
      </c>
      <c r="G30" s="3"/>
      <c r="H30" s="3"/>
      <c r="I30" s="5"/>
      <c r="J30" s="3"/>
      <c r="L30" s="3"/>
      <c r="M30" s="3"/>
      <c r="N30" s="3"/>
      <c r="O30" s="5"/>
      <c r="P30" s="3"/>
    </row>
    <row r="31" spans="5:16" ht="22.5" customHeight="1">
      <c r="E31" s="4"/>
      <c r="F31" s="4" t="s">
        <v>0</v>
      </c>
      <c r="G31" s="4"/>
      <c r="H31" s="4"/>
      <c r="I31" s="50"/>
      <c r="J31" s="50"/>
      <c r="L31" s="4"/>
      <c r="M31" s="4"/>
      <c r="N31" s="4"/>
      <c r="O31" s="50"/>
      <c r="P31" s="50"/>
    </row>
    <row r="32" spans="5:16" ht="9" customHeight="1">
      <c r="E32" s="4"/>
      <c r="F32" s="4"/>
      <c r="G32" s="4"/>
      <c r="H32" s="4"/>
      <c r="I32" s="5"/>
      <c r="J32" s="6"/>
      <c r="L32" s="4"/>
      <c r="M32" s="4"/>
      <c r="N32" s="4"/>
      <c r="O32" s="5"/>
      <c r="P32" s="6"/>
    </row>
    <row r="33" spans="5:16" ht="16.5">
      <c r="E33" s="4"/>
      <c r="F33" s="4"/>
      <c r="G33" s="4"/>
      <c r="H33" s="4"/>
      <c r="I33" s="4"/>
      <c r="J33" s="4"/>
      <c r="L33" s="4"/>
      <c r="M33" s="4"/>
      <c r="N33" s="4"/>
      <c r="O33" s="4"/>
      <c r="P33" s="4"/>
    </row>
    <row r="34" spans="5:16" ht="16.5">
      <c r="E34" s="1"/>
      <c r="F34" s="9"/>
      <c r="G34" s="1"/>
      <c r="H34" s="1"/>
      <c r="I34" s="1"/>
      <c r="J34" s="1"/>
      <c r="L34" s="1"/>
      <c r="M34" s="9"/>
      <c r="N34" s="1"/>
      <c r="O34" s="1"/>
      <c r="P34" s="1"/>
    </row>
    <row r="35" spans="5:16" ht="16.5"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</row>
    <row r="36" spans="5:16" ht="16.5">
      <c r="E36" s="1"/>
      <c r="F36" s="9" t="s">
        <v>10</v>
      </c>
      <c r="G36" s="1"/>
      <c r="H36" s="1"/>
      <c r="I36" s="1"/>
      <c r="J36" s="1"/>
      <c r="L36" s="1"/>
      <c r="M36" s="1"/>
      <c r="N36" s="1"/>
      <c r="O36" s="1"/>
      <c r="P36" s="1"/>
    </row>
    <row r="37" spans="5:16" ht="16.5">
      <c r="E37" s="1"/>
      <c r="F37" s="1"/>
      <c r="G37" s="1"/>
      <c r="H37" s="1"/>
      <c r="I37" s="1"/>
      <c r="J37" s="2"/>
      <c r="L37" s="1"/>
      <c r="M37" s="1"/>
      <c r="N37" s="1"/>
      <c r="O37" s="1"/>
      <c r="P37" s="2"/>
    </row>
    <row r="38" spans="5:16" ht="16.5"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</row>
    <row r="39" spans="5:16" ht="16.5">
      <c r="E39" s="1"/>
      <c r="F39" s="1"/>
      <c r="G39" s="1"/>
      <c r="H39" s="1"/>
      <c r="I39" s="1"/>
      <c r="J39" s="1"/>
      <c r="L39" s="1"/>
      <c r="M39" s="1"/>
      <c r="N39" s="1"/>
      <c r="O39" s="1"/>
      <c r="P39" s="1"/>
    </row>
    <row r="41" spans="5:16" ht="23.25" customHeight="1">
      <c r="E41" s="3"/>
      <c r="F41" s="3"/>
      <c r="G41" s="3"/>
      <c r="H41" s="3"/>
      <c r="I41" s="5"/>
      <c r="J41" s="3"/>
      <c r="L41" s="3"/>
      <c r="M41" s="3"/>
      <c r="N41" s="3"/>
      <c r="O41" s="5"/>
      <c r="P41" s="3"/>
    </row>
    <row r="42" spans="5:16" ht="14.25" customHeight="1">
      <c r="E42" s="3"/>
      <c r="F42" s="3"/>
      <c r="G42" s="3"/>
      <c r="H42" s="3"/>
      <c r="I42" s="5"/>
      <c r="J42" s="3"/>
      <c r="L42" s="3"/>
      <c r="M42" s="3"/>
      <c r="N42" s="3"/>
      <c r="O42" s="5"/>
      <c r="P42" s="3"/>
    </row>
    <row r="43" spans="5:16" ht="12.75" customHeight="1">
      <c r="E43" s="4"/>
      <c r="F43" s="4"/>
      <c r="G43" s="4"/>
      <c r="H43" s="4"/>
      <c r="I43" s="50"/>
      <c r="J43" s="50"/>
      <c r="L43" s="4"/>
      <c r="M43" s="4"/>
      <c r="N43" s="4"/>
      <c r="O43" s="50"/>
      <c r="P43" s="50"/>
    </row>
    <row r="44" spans="5:16" ht="4.5" customHeight="1">
      <c r="E44" s="4"/>
      <c r="F44" s="4"/>
      <c r="G44" s="4"/>
      <c r="H44" s="4"/>
      <c r="I44" s="5"/>
      <c r="J44" s="6"/>
      <c r="L44" s="4"/>
      <c r="M44" s="4"/>
      <c r="N44" s="4"/>
      <c r="O44" s="5"/>
      <c r="P44" s="6"/>
    </row>
    <row r="45" spans="5:16" ht="16.5">
      <c r="E45" s="4"/>
      <c r="F45" s="4"/>
      <c r="G45" s="4"/>
      <c r="H45" s="4"/>
      <c r="I45" s="4"/>
      <c r="J45" s="4"/>
      <c r="L45" s="4"/>
      <c r="M45" s="4"/>
      <c r="N45" s="4"/>
      <c r="O45" s="4"/>
      <c r="P45" s="4"/>
    </row>
    <row r="46" spans="5:16">
      <c r="F46" s="9"/>
      <c r="M46" s="9"/>
    </row>
    <row r="47" spans="5:16">
      <c r="G47" s="7" t="s">
        <v>11</v>
      </c>
      <c r="H47" s="7"/>
    </row>
  </sheetData>
  <mergeCells count="9">
    <mergeCell ref="O6:P6"/>
    <mergeCell ref="O19:P19"/>
    <mergeCell ref="O31:P31"/>
    <mergeCell ref="O43:P43"/>
    <mergeCell ref="I6:J6"/>
    <mergeCell ref="I19:J19"/>
    <mergeCell ref="I31:J31"/>
    <mergeCell ref="I43:J43"/>
    <mergeCell ref="H18:J18"/>
  </mergeCells>
  <phoneticPr fontId="0" type="noConversion"/>
  <pageMargins left="1.3779527559055118" right="0.75" top="1" bottom="1" header="0" footer="0"/>
  <pageSetup scale="11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C3:H124"/>
  <sheetViews>
    <sheetView tabSelected="1" topLeftCell="B1" workbookViewId="0">
      <selection activeCell="D12" sqref="D12"/>
    </sheetView>
  </sheetViews>
  <sheetFormatPr baseColWidth="10" defaultRowHeight="12.75"/>
  <cols>
    <col min="2" max="2" width="5.28515625" customWidth="1"/>
    <col min="3" max="3" width="4" customWidth="1"/>
    <col min="4" max="4" width="47.28515625" customWidth="1"/>
    <col min="5" max="5" width="9.85546875" customWidth="1"/>
    <col min="6" max="6" width="6.28515625" customWidth="1"/>
    <col min="7" max="7" width="23" bestFit="1" customWidth="1"/>
    <col min="8" max="8" width="4.42578125" customWidth="1"/>
    <col min="9" max="9" width="3.85546875" customWidth="1"/>
  </cols>
  <sheetData>
    <row r="3" spans="3:8">
      <c r="D3" s="7" t="s">
        <v>13</v>
      </c>
      <c r="G3" s="11" t="s">
        <v>14</v>
      </c>
    </row>
    <row r="4" spans="3:8">
      <c r="C4" s="53"/>
      <c r="D4" s="54"/>
      <c r="E4" s="54"/>
      <c r="F4" s="54"/>
      <c r="G4" s="54"/>
      <c r="H4" s="55"/>
    </row>
    <row r="5" spans="3:8" ht="12" customHeight="1">
      <c r="C5" s="56"/>
      <c r="D5" s="57"/>
      <c r="E5" s="57"/>
      <c r="F5" s="57"/>
      <c r="G5" s="58">
        <f ca="1">+DATOS!C1</f>
        <v>39819</v>
      </c>
      <c r="H5" s="59"/>
    </row>
    <row r="6" spans="3:8">
      <c r="C6" s="56"/>
      <c r="D6" s="57"/>
      <c r="E6" s="57"/>
      <c r="F6" s="57"/>
      <c r="G6" s="57"/>
      <c r="H6" s="59"/>
    </row>
    <row r="7" spans="3:8">
      <c r="C7" s="56"/>
      <c r="D7" s="57"/>
      <c r="E7" s="57"/>
      <c r="F7" s="57"/>
      <c r="G7" s="57"/>
      <c r="H7" s="59"/>
    </row>
    <row r="8" spans="3:8">
      <c r="C8" s="56"/>
      <c r="D8" s="57" t="str">
        <f>+DATOS!C6</f>
        <v>AL PORTADOR</v>
      </c>
      <c r="E8" s="57"/>
      <c r="F8" s="57"/>
      <c r="G8" s="60">
        <f>+DATOS!C2</f>
        <v>2282.5</v>
      </c>
      <c r="H8" s="59"/>
    </row>
    <row r="9" spans="3:8">
      <c r="C9" s="56"/>
      <c r="D9" s="57"/>
      <c r="E9" s="57"/>
      <c r="F9" s="57"/>
      <c r="G9" s="57"/>
      <c r="H9" s="59"/>
    </row>
    <row r="10" spans="3:8">
      <c r="C10" s="56"/>
      <c r="D10" s="57" t="str">
        <f>+DATOS!C3</f>
        <v>*** DOS MIL DOSCIENTOS OCHENTA Y DOS  PESOS  50/100 M.N. ***</v>
      </c>
      <c r="E10" s="57"/>
      <c r="F10" s="57"/>
      <c r="G10" s="57"/>
      <c r="H10" s="59"/>
    </row>
    <row r="11" spans="3:8">
      <c r="C11" s="56"/>
      <c r="D11" s="57"/>
      <c r="E11" s="57"/>
      <c r="F11" s="57"/>
      <c r="G11" s="57"/>
      <c r="H11" s="59"/>
    </row>
    <row r="12" spans="3:8">
      <c r="C12" s="56"/>
      <c r="D12" s="57"/>
      <c r="E12" s="57"/>
      <c r="F12" s="57"/>
      <c r="G12" s="57"/>
      <c r="H12" s="59"/>
    </row>
    <row r="13" spans="3:8">
      <c r="C13" s="56"/>
      <c r="D13" s="57"/>
      <c r="E13" s="57"/>
      <c r="F13" s="57"/>
      <c r="G13" s="57"/>
      <c r="H13" s="59"/>
    </row>
    <row r="14" spans="3:8">
      <c r="C14" s="56"/>
      <c r="D14" s="57" t="s">
        <v>191</v>
      </c>
      <c r="E14" s="57" t="s">
        <v>15</v>
      </c>
      <c r="F14" s="57">
        <f>+DATOS!C4</f>
        <v>217</v>
      </c>
      <c r="G14" s="57"/>
      <c r="H14" s="59"/>
    </row>
    <row r="15" spans="3:8">
      <c r="C15" s="61"/>
      <c r="D15" s="62" t="s">
        <v>190</v>
      </c>
      <c r="E15" s="62"/>
      <c r="F15" s="62"/>
      <c r="G15" s="62"/>
      <c r="H15" s="63"/>
    </row>
    <row r="18" spans="3:8">
      <c r="C18" s="12"/>
      <c r="D18" s="13" t="s">
        <v>16</v>
      </c>
      <c r="E18" s="14"/>
      <c r="G18" s="15" t="s">
        <v>17</v>
      </c>
      <c r="H18" s="14"/>
    </row>
    <row r="19" spans="3:8">
      <c r="C19" s="16"/>
      <c r="D19" s="17"/>
      <c r="E19" s="18"/>
      <c r="G19" s="16"/>
      <c r="H19" s="18"/>
    </row>
    <row r="20" spans="3:8">
      <c r="C20" s="16"/>
      <c r="D20" s="17" t="str">
        <f>+DATOS!C7</f>
        <v>PAGO NOMINA SEMANA DEL 13 AL 19 DE FEBRERO 2006</v>
      </c>
      <c r="E20" s="18"/>
      <c r="G20" s="16"/>
      <c r="H20" s="18"/>
    </row>
    <row r="21" spans="3:8">
      <c r="C21" s="16"/>
      <c r="D21" s="17"/>
      <c r="E21" s="18"/>
      <c r="G21" s="16"/>
      <c r="H21" s="18"/>
    </row>
    <row r="22" spans="3:8">
      <c r="C22" s="19"/>
      <c r="D22" s="8"/>
      <c r="E22" s="20"/>
      <c r="G22" s="19"/>
      <c r="H22" s="20"/>
    </row>
    <row r="24" spans="3:8">
      <c r="C24" s="64" t="s">
        <v>18</v>
      </c>
      <c r="D24" s="65"/>
      <c r="E24" s="65" t="s">
        <v>19</v>
      </c>
      <c r="F24" s="65"/>
      <c r="G24" s="65"/>
      <c r="H24" s="66"/>
    </row>
    <row r="25" spans="3:8">
      <c r="C25" s="16"/>
      <c r="D25" s="17"/>
      <c r="E25" s="17"/>
      <c r="F25" s="17"/>
      <c r="G25" s="17"/>
      <c r="H25" s="18"/>
    </row>
    <row r="26" spans="3:8">
      <c r="C26" s="21"/>
      <c r="D26" s="22"/>
      <c r="E26" s="22"/>
      <c r="F26" s="22"/>
      <c r="G26" s="22"/>
      <c r="H26" s="23"/>
    </row>
    <row r="27" spans="3:8">
      <c r="C27" s="56"/>
      <c r="D27" s="57"/>
      <c r="E27" s="57"/>
      <c r="F27" s="57"/>
      <c r="G27" s="57"/>
      <c r="H27" s="59"/>
    </row>
    <row r="28" spans="3:8">
      <c r="C28" s="21"/>
      <c r="D28" s="22"/>
      <c r="E28" s="22"/>
      <c r="F28" s="22"/>
      <c r="G28" s="22"/>
      <c r="H28" s="23"/>
    </row>
    <row r="29" spans="3:8">
      <c r="C29" s="16"/>
      <c r="D29" s="17"/>
      <c r="E29" s="17"/>
      <c r="F29" s="17"/>
      <c r="G29" s="17"/>
      <c r="H29" s="18"/>
    </row>
    <row r="30" spans="3:8">
      <c r="C30" s="21"/>
      <c r="D30" s="22"/>
      <c r="E30" s="22"/>
      <c r="F30" s="22"/>
      <c r="G30" s="22"/>
      <c r="H30" s="23"/>
    </row>
    <row r="31" spans="3:8">
      <c r="C31" s="16"/>
      <c r="D31" s="17"/>
      <c r="E31" s="17"/>
      <c r="F31" s="17"/>
      <c r="G31" s="17"/>
      <c r="H31" s="18"/>
    </row>
    <row r="32" spans="3:8">
      <c r="C32" s="21"/>
      <c r="D32" s="22"/>
      <c r="E32" s="22"/>
      <c r="F32" s="22"/>
      <c r="G32" s="22"/>
      <c r="H32" s="23"/>
    </row>
    <row r="33" spans="3:8">
      <c r="C33" s="16"/>
      <c r="D33" s="17"/>
      <c r="E33" s="17"/>
      <c r="F33" s="17"/>
      <c r="G33" s="17"/>
      <c r="H33" s="18"/>
    </row>
    <row r="34" spans="3:8">
      <c r="C34" s="21"/>
      <c r="D34" s="22"/>
      <c r="E34" s="22"/>
      <c r="F34" s="22"/>
      <c r="G34" s="22"/>
      <c r="H34" s="23"/>
    </row>
    <row r="35" spans="3:8">
      <c r="C35" s="16"/>
      <c r="D35" s="17"/>
      <c r="E35" s="17"/>
      <c r="F35" s="17"/>
      <c r="G35" s="17"/>
      <c r="H35" s="18"/>
    </row>
    <row r="36" spans="3:8">
      <c r="C36" s="21"/>
      <c r="D36" s="22"/>
      <c r="E36" s="22"/>
      <c r="F36" s="22"/>
      <c r="G36" s="22"/>
      <c r="H36" s="23"/>
    </row>
    <row r="37" spans="3:8">
      <c r="C37" s="16"/>
      <c r="D37" s="17"/>
      <c r="E37" s="17"/>
      <c r="F37" s="17"/>
      <c r="G37" s="17"/>
      <c r="H37" s="18"/>
    </row>
    <row r="38" spans="3:8">
      <c r="C38" s="21"/>
      <c r="D38" s="22"/>
      <c r="E38" s="22"/>
      <c r="F38" s="22"/>
      <c r="G38" s="22"/>
      <c r="H38" s="23"/>
    </row>
    <row r="39" spans="3:8">
      <c r="C39" s="16"/>
      <c r="D39" s="17"/>
      <c r="E39" s="17"/>
      <c r="F39" s="17"/>
      <c r="G39" s="17"/>
      <c r="H39" s="18"/>
    </row>
    <row r="40" spans="3:8">
      <c r="C40" s="21"/>
      <c r="D40" s="22"/>
      <c r="E40" s="22"/>
      <c r="F40" s="22"/>
      <c r="G40" s="22"/>
      <c r="H40" s="23"/>
    </row>
    <row r="41" spans="3:8">
      <c r="C41" s="16"/>
      <c r="D41" s="17"/>
      <c r="E41" s="17"/>
      <c r="F41" s="17"/>
      <c r="G41" s="17"/>
      <c r="H41" s="18"/>
    </row>
    <row r="42" spans="3:8">
      <c r="C42" s="21"/>
      <c r="D42" s="22"/>
      <c r="E42" s="22"/>
      <c r="F42" s="22"/>
      <c r="G42" s="22"/>
      <c r="H42" s="23"/>
    </row>
    <row r="43" spans="3:8">
      <c r="C43" s="16"/>
      <c r="D43" s="17"/>
      <c r="E43" s="17"/>
      <c r="F43" s="17"/>
      <c r="G43" s="17"/>
      <c r="H43" s="18"/>
    </row>
    <row r="44" spans="3:8">
      <c r="C44" s="21"/>
      <c r="D44" s="22"/>
      <c r="E44" s="22"/>
      <c r="F44" s="22"/>
      <c r="G44" s="22"/>
      <c r="H44" s="23"/>
    </row>
    <row r="45" spans="3:8">
      <c r="C45" s="16"/>
      <c r="D45" s="17"/>
      <c r="E45" s="17"/>
      <c r="F45" s="17"/>
      <c r="G45" s="17"/>
      <c r="H45" s="18"/>
    </row>
    <row r="46" spans="3:8">
      <c r="C46" s="21"/>
      <c r="D46" s="22"/>
      <c r="E46" s="22"/>
      <c r="F46" s="22"/>
      <c r="G46" s="22"/>
      <c r="H46" s="23"/>
    </row>
    <row r="47" spans="3:8">
      <c r="C47" s="16"/>
      <c r="D47" s="17"/>
      <c r="E47" s="17"/>
      <c r="F47" s="17"/>
      <c r="G47" s="17"/>
      <c r="H47" s="18"/>
    </row>
    <row r="48" spans="3:8">
      <c r="C48" s="21"/>
      <c r="D48" s="22"/>
      <c r="E48" s="22"/>
      <c r="F48" s="22"/>
      <c r="G48" s="22"/>
      <c r="H48" s="23"/>
    </row>
    <row r="49" spans="3:8">
      <c r="C49" s="16"/>
      <c r="D49" s="17"/>
      <c r="E49" s="17"/>
      <c r="F49" s="17"/>
      <c r="G49" s="17"/>
      <c r="H49" s="18"/>
    </row>
    <row r="50" spans="3:8">
      <c r="C50" s="21"/>
      <c r="D50" s="22"/>
      <c r="E50" s="22"/>
      <c r="F50" s="22"/>
      <c r="G50" s="22"/>
      <c r="H50" s="23"/>
    </row>
    <row r="51" spans="3:8">
      <c r="C51" s="16"/>
      <c r="D51" s="17"/>
      <c r="E51" s="17"/>
      <c r="F51" s="17"/>
      <c r="G51" s="17"/>
      <c r="H51" s="18"/>
    </row>
    <row r="52" spans="3:8">
      <c r="C52" s="21"/>
      <c r="D52" s="22"/>
      <c r="E52" s="22"/>
      <c r="F52" s="22"/>
      <c r="G52" s="22"/>
      <c r="H52" s="23"/>
    </row>
    <row r="53" spans="3:8">
      <c r="C53" s="16"/>
      <c r="D53" s="17"/>
      <c r="E53" s="17"/>
      <c r="F53" s="17"/>
      <c r="G53" s="17"/>
      <c r="H53" s="18"/>
    </row>
    <row r="54" spans="3:8">
      <c r="C54" s="21"/>
      <c r="D54" s="22"/>
      <c r="E54" s="22"/>
      <c r="F54" s="22"/>
      <c r="G54" s="22"/>
      <c r="H54" s="23"/>
    </row>
    <row r="55" spans="3:8">
      <c r="C55" s="16"/>
      <c r="D55" s="17"/>
      <c r="E55" s="17"/>
      <c r="F55" s="17"/>
      <c r="G55" s="17"/>
      <c r="H55" s="18"/>
    </row>
    <row r="56" spans="3:8">
      <c r="C56" s="21"/>
      <c r="D56" s="22"/>
      <c r="E56" s="22"/>
      <c r="F56" s="22"/>
      <c r="G56" s="22"/>
      <c r="H56" s="23"/>
    </row>
    <row r="57" spans="3:8" ht="11.25" customHeight="1">
      <c r="C57" s="16"/>
      <c r="D57" s="24" t="s">
        <v>20</v>
      </c>
      <c r="E57" s="17"/>
      <c r="F57" s="25"/>
      <c r="G57" s="26"/>
      <c r="H57" s="27"/>
    </row>
    <row r="58" spans="3:8">
      <c r="C58" s="19"/>
      <c r="H58" s="27"/>
    </row>
    <row r="59" spans="3:8" ht="10.5" customHeight="1">
      <c r="C59" s="15" t="s">
        <v>21</v>
      </c>
      <c r="D59" s="28"/>
      <c r="E59" s="28"/>
      <c r="F59" s="28"/>
      <c r="G59" s="28"/>
      <c r="H59" s="14"/>
    </row>
    <row r="60" spans="3:8">
      <c r="C60" s="16" t="s">
        <v>188</v>
      </c>
      <c r="D60" s="17"/>
      <c r="E60" s="17"/>
      <c r="F60" s="17"/>
      <c r="G60" s="17"/>
      <c r="H60" s="18"/>
    </row>
    <row r="61" spans="3:8" ht="6.75" customHeight="1">
      <c r="C61" s="19"/>
      <c r="D61" s="8"/>
      <c r="E61" s="8"/>
      <c r="F61" s="8"/>
      <c r="G61" s="8"/>
      <c r="H61" s="20"/>
    </row>
    <row r="65" spans="3:8">
      <c r="D65" s="7" t="s">
        <v>13</v>
      </c>
      <c r="G65" s="11" t="s">
        <v>14</v>
      </c>
    </row>
    <row r="66" spans="3:8">
      <c r="C66" s="53"/>
      <c r="D66" s="54"/>
      <c r="E66" s="54"/>
      <c r="F66" s="54"/>
      <c r="G66" s="54"/>
      <c r="H66" s="55"/>
    </row>
    <row r="67" spans="3:8">
      <c r="C67" s="56"/>
      <c r="D67" s="57"/>
      <c r="E67" s="57"/>
      <c r="F67" s="57"/>
      <c r="G67" s="58">
        <f ca="1">+G5</f>
        <v>39819</v>
      </c>
      <c r="H67" s="59"/>
    </row>
    <row r="68" spans="3:8">
      <c r="C68" s="56"/>
      <c r="D68" s="57"/>
      <c r="E68" s="57"/>
      <c r="F68" s="57"/>
      <c r="G68" s="57"/>
      <c r="H68" s="59"/>
    </row>
    <row r="69" spans="3:8">
      <c r="C69" s="56"/>
      <c r="D69" s="57"/>
      <c r="E69" s="57"/>
      <c r="F69" s="57"/>
      <c r="G69" s="57"/>
      <c r="H69" s="59"/>
    </row>
    <row r="70" spans="3:8">
      <c r="C70" s="56"/>
      <c r="D70" s="57" t="str">
        <f>+D8</f>
        <v>AL PORTADOR</v>
      </c>
      <c r="E70" s="57"/>
      <c r="F70" s="57"/>
      <c r="G70" s="60">
        <f>+G8</f>
        <v>2282.5</v>
      </c>
      <c r="H70" s="59"/>
    </row>
    <row r="71" spans="3:8">
      <c r="C71" s="56"/>
      <c r="D71" s="57"/>
      <c r="E71" s="57"/>
      <c r="F71" s="57"/>
      <c r="G71" s="57"/>
      <c r="H71" s="59"/>
    </row>
    <row r="72" spans="3:8">
      <c r="C72" s="56"/>
      <c r="D72" s="57" t="str">
        <f>+D10</f>
        <v>*** DOS MIL DOSCIENTOS OCHENTA Y DOS  PESOS  50/100 M.N. ***</v>
      </c>
      <c r="E72" s="57"/>
      <c r="F72" s="57"/>
      <c r="G72" s="57"/>
      <c r="H72" s="59"/>
    </row>
    <row r="73" spans="3:8">
      <c r="C73" s="56"/>
      <c r="D73" s="57"/>
      <c r="E73" s="57"/>
      <c r="F73" s="57"/>
      <c r="G73" s="57"/>
      <c r="H73" s="59"/>
    </row>
    <row r="74" spans="3:8">
      <c r="C74" s="56"/>
      <c r="D74" s="57"/>
      <c r="E74" s="57"/>
      <c r="F74" s="57"/>
      <c r="G74" s="57"/>
      <c r="H74" s="59"/>
    </row>
    <row r="75" spans="3:8">
      <c r="C75" s="56"/>
      <c r="D75" s="57"/>
      <c r="E75" s="57"/>
      <c r="F75" s="57"/>
      <c r="G75" s="57"/>
      <c r="H75" s="59"/>
    </row>
    <row r="76" spans="3:8">
      <c r="C76" s="56"/>
      <c r="D76" s="57" t="str">
        <f>D14</f>
        <v>CTA.No. 60-51226353-8 Santander</v>
      </c>
      <c r="E76" s="57" t="s">
        <v>15</v>
      </c>
      <c r="F76" s="57">
        <f>+F14</f>
        <v>217</v>
      </c>
      <c r="G76" s="57"/>
      <c r="H76" s="59"/>
    </row>
    <row r="77" spans="3:8">
      <c r="C77" s="61"/>
      <c r="D77" s="62" t="str">
        <f>D15</f>
        <v>Norma Ledo Parra</v>
      </c>
      <c r="E77" s="62"/>
      <c r="F77" s="62"/>
      <c r="G77" s="62"/>
      <c r="H77" s="63"/>
    </row>
    <row r="80" spans="3:8">
      <c r="C80" s="12"/>
      <c r="D80" s="13" t="s">
        <v>16</v>
      </c>
      <c r="E80" s="14"/>
      <c r="G80" s="15" t="s">
        <v>17</v>
      </c>
      <c r="H80" s="14"/>
    </row>
    <row r="81" spans="3:8">
      <c r="C81" s="16"/>
      <c r="D81" s="17"/>
      <c r="E81" s="18"/>
      <c r="G81" s="16"/>
      <c r="H81" s="18"/>
    </row>
    <row r="82" spans="3:8">
      <c r="C82" s="16"/>
      <c r="D82" s="17" t="str">
        <f>+D20</f>
        <v>PAGO NOMINA SEMANA DEL 13 AL 19 DE FEBRERO 2006</v>
      </c>
      <c r="E82" s="18"/>
      <c r="G82" s="16"/>
      <c r="H82" s="18"/>
    </row>
    <row r="83" spans="3:8">
      <c r="C83" s="16"/>
      <c r="D83" s="17">
        <f>+D21</f>
        <v>0</v>
      </c>
      <c r="E83" s="18"/>
      <c r="G83" s="16"/>
      <c r="H83" s="18"/>
    </row>
    <row r="84" spans="3:8">
      <c r="C84" s="19"/>
      <c r="D84" s="8"/>
      <c r="E84" s="20"/>
      <c r="G84" s="19"/>
      <c r="H84" s="20"/>
    </row>
    <row r="86" spans="3:8">
      <c r="C86" s="64" t="s">
        <v>18</v>
      </c>
      <c r="D86" s="65"/>
      <c r="E86" s="65" t="s">
        <v>19</v>
      </c>
      <c r="F86" s="65"/>
      <c r="G86" s="65"/>
      <c r="H86" s="66"/>
    </row>
    <row r="87" spans="3:8">
      <c r="C87" s="16"/>
      <c r="D87" s="17"/>
      <c r="E87" s="17"/>
      <c r="F87" s="17"/>
      <c r="G87" s="17"/>
      <c r="H87" s="18"/>
    </row>
    <row r="88" spans="3:8">
      <c r="C88" s="21"/>
      <c r="D88" s="22"/>
      <c r="E88" s="22"/>
      <c r="F88" s="22"/>
      <c r="G88" s="22"/>
      <c r="H88" s="23"/>
    </row>
    <row r="89" spans="3:8">
      <c r="C89" s="16"/>
      <c r="D89" s="17"/>
      <c r="E89" s="17"/>
      <c r="F89" s="17"/>
      <c r="G89" s="17"/>
      <c r="H89" s="18"/>
    </row>
    <row r="90" spans="3:8">
      <c r="C90" s="21"/>
      <c r="D90" s="22"/>
      <c r="E90" s="22"/>
      <c r="F90" s="22"/>
      <c r="G90" s="22"/>
      <c r="H90" s="23"/>
    </row>
    <row r="91" spans="3:8">
      <c r="C91" s="16"/>
      <c r="D91" s="17"/>
      <c r="E91" s="17"/>
      <c r="F91" s="17"/>
      <c r="G91" s="17"/>
      <c r="H91" s="18"/>
    </row>
    <row r="92" spans="3:8">
      <c r="C92" s="21"/>
      <c r="D92" s="22"/>
      <c r="E92" s="22"/>
      <c r="F92" s="22"/>
      <c r="G92" s="22"/>
      <c r="H92" s="23"/>
    </row>
    <row r="93" spans="3:8">
      <c r="C93" s="16"/>
      <c r="D93" s="17"/>
      <c r="E93" s="17"/>
      <c r="F93" s="17"/>
      <c r="G93" s="17"/>
      <c r="H93" s="18"/>
    </row>
    <row r="94" spans="3:8">
      <c r="C94" s="21"/>
      <c r="D94" s="22"/>
      <c r="E94" s="22"/>
      <c r="F94" s="22"/>
      <c r="G94" s="22"/>
      <c r="H94" s="23"/>
    </row>
    <row r="95" spans="3:8">
      <c r="C95" s="16"/>
      <c r="D95" s="17"/>
      <c r="E95" s="17"/>
      <c r="F95" s="17"/>
      <c r="G95" s="17"/>
      <c r="H95" s="18"/>
    </row>
    <row r="96" spans="3:8">
      <c r="C96" s="21"/>
      <c r="D96" s="22"/>
      <c r="E96" s="22"/>
      <c r="F96" s="22"/>
      <c r="G96" s="22"/>
      <c r="H96" s="23"/>
    </row>
    <row r="97" spans="3:8">
      <c r="C97" s="16"/>
      <c r="D97" s="17"/>
      <c r="E97" s="17"/>
      <c r="F97" s="17"/>
      <c r="G97" s="17"/>
      <c r="H97" s="18"/>
    </row>
    <row r="98" spans="3:8">
      <c r="C98" s="21"/>
      <c r="D98" s="22"/>
      <c r="E98" s="22"/>
      <c r="F98" s="22"/>
      <c r="G98" s="22"/>
      <c r="H98" s="23"/>
    </row>
    <row r="99" spans="3:8">
      <c r="C99" s="16"/>
      <c r="D99" s="17"/>
      <c r="E99" s="17"/>
      <c r="F99" s="17"/>
      <c r="G99" s="17"/>
      <c r="H99" s="18"/>
    </row>
    <row r="100" spans="3:8">
      <c r="C100" s="21"/>
      <c r="D100" s="22"/>
      <c r="E100" s="22"/>
      <c r="F100" s="22"/>
      <c r="G100" s="22"/>
      <c r="H100" s="23"/>
    </row>
    <row r="101" spans="3:8">
      <c r="C101" s="16"/>
      <c r="D101" s="17"/>
      <c r="E101" s="17"/>
      <c r="F101" s="17"/>
      <c r="G101" s="17"/>
      <c r="H101" s="18"/>
    </row>
    <row r="102" spans="3:8">
      <c r="C102" s="21"/>
      <c r="D102" s="22"/>
      <c r="E102" s="22"/>
      <c r="F102" s="22"/>
      <c r="G102" s="22"/>
      <c r="H102" s="23"/>
    </row>
    <row r="103" spans="3:8">
      <c r="C103" s="16"/>
      <c r="D103" s="17"/>
      <c r="E103" s="17"/>
      <c r="F103" s="17"/>
      <c r="G103" s="17"/>
      <c r="H103" s="18"/>
    </row>
    <row r="104" spans="3:8">
      <c r="C104" s="21"/>
      <c r="D104" s="22"/>
      <c r="E104" s="22"/>
      <c r="F104" s="22"/>
      <c r="G104" s="22"/>
      <c r="H104" s="23"/>
    </row>
    <row r="105" spans="3:8">
      <c r="C105" s="16"/>
      <c r="D105" s="17"/>
      <c r="E105" s="17"/>
      <c r="F105" s="17"/>
      <c r="G105" s="17"/>
      <c r="H105" s="18"/>
    </row>
    <row r="106" spans="3:8">
      <c r="C106" s="21"/>
      <c r="D106" s="22"/>
      <c r="E106" s="22"/>
      <c r="F106" s="22"/>
      <c r="G106" s="22"/>
      <c r="H106" s="23"/>
    </row>
    <row r="107" spans="3:8">
      <c r="C107" s="16"/>
      <c r="D107" s="17"/>
      <c r="E107" s="17"/>
      <c r="F107" s="17"/>
      <c r="G107" s="17"/>
      <c r="H107" s="18"/>
    </row>
    <row r="108" spans="3:8">
      <c r="C108" s="21"/>
      <c r="D108" s="22"/>
      <c r="E108" s="22"/>
      <c r="F108" s="22"/>
      <c r="G108" s="22"/>
      <c r="H108" s="23"/>
    </row>
    <row r="109" spans="3:8">
      <c r="C109" s="16"/>
      <c r="D109" s="17"/>
      <c r="E109" s="17"/>
      <c r="F109" s="17"/>
      <c r="G109" s="17"/>
      <c r="H109" s="18"/>
    </row>
    <row r="110" spans="3:8">
      <c r="C110" s="21"/>
      <c r="D110" s="22"/>
      <c r="E110" s="22"/>
      <c r="F110" s="22"/>
      <c r="G110" s="22"/>
      <c r="H110" s="23"/>
    </row>
    <row r="111" spans="3:8">
      <c r="C111" s="16"/>
      <c r="D111" s="17"/>
      <c r="E111" s="17"/>
      <c r="F111" s="17"/>
      <c r="G111" s="17"/>
      <c r="H111" s="18"/>
    </row>
    <row r="112" spans="3:8">
      <c r="C112" s="21"/>
      <c r="D112" s="22"/>
      <c r="E112" s="22"/>
      <c r="F112" s="22"/>
      <c r="G112" s="22"/>
      <c r="H112" s="23"/>
    </row>
    <row r="113" spans="3:8">
      <c r="C113" s="16"/>
      <c r="D113" s="17"/>
      <c r="E113" s="17"/>
      <c r="F113" s="17"/>
      <c r="G113" s="17"/>
      <c r="H113" s="18"/>
    </row>
    <row r="114" spans="3:8">
      <c r="C114" s="21"/>
      <c r="D114" s="22"/>
      <c r="E114" s="22"/>
      <c r="F114" s="22"/>
      <c r="G114" s="22"/>
      <c r="H114" s="23"/>
    </row>
    <row r="115" spans="3:8">
      <c r="C115" s="16"/>
      <c r="D115" s="17"/>
      <c r="E115" s="17"/>
      <c r="F115" s="17"/>
      <c r="G115" s="17"/>
      <c r="H115" s="18"/>
    </row>
    <row r="116" spans="3:8">
      <c r="C116" s="21"/>
      <c r="D116" s="22"/>
      <c r="E116" s="22"/>
      <c r="F116" s="22"/>
      <c r="G116" s="22"/>
      <c r="H116" s="23"/>
    </row>
    <row r="117" spans="3:8">
      <c r="C117" s="16"/>
      <c r="D117" s="17"/>
      <c r="E117" s="17"/>
      <c r="F117" s="17"/>
      <c r="G117" s="17"/>
      <c r="H117" s="18"/>
    </row>
    <row r="118" spans="3:8" ht="15.75">
      <c r="C118" s="21"/>
      <c r="D118" s="29" t="s">
        <v>22</v>
      </c>
      <c r="E118" s="22"/>
      <c r="F118" s="22"/>
      <c r="G118" s="22"/>
      <c r="H118" s="23"/>
    </row>
    <row r="119" spans="3:8">
      <c r="C119" s="16"/>
      <c r="D119" s="24" t="s">
        <v>20</v>
      </c>
      <c r="E119" s="17"/>
      <c r="F119" s="25"/>
      <c r="G119" s="26"/>
      <c r="H119" s="27"/>
    </row>
    <row r="120" spans="3:8">
      <c r="C120" s="19"/>
      <c r="H120" s="27"/>
    </row>
    <row r="121" spans="3:8">
      <c r="C121" s="15" t="s">
        <v>21</v>
      </c>
      <c r="D121" s="28"/>
      <c r="E121" s="28"/>
      <c r="F121" s="28"/>
      <c r="G121" s="28"/>
      <c r="H121" s="14"/>
    </row>
    <row r="122" spans="3:8">
      <c r="C122" s="16" t="s">
        <v>189</v>
      </c>
      <c r="D122" s="17"/>
      <c r="E122" s="17"/>
      <c r="F122" s="17"/>
      <c r="G122" s="17"/>
      <c r="H122" s="18"/>
    </row>
    <row r="123" spans="3:8">
      <c r="C123" s="19"/>
      <c r="D123" s="8"/>
      <c r="E123" s="8"/>
      <c r="F123" s="8"/>
      <c r="G123" s="8"/>
      <c r="H123" s="20"/>
    </row>
    <row r="124" spans="3:8">
      <c r="D124" s="30"/>
    </row>
  </sheetData>
  <phoneticPr fontId="0" type="noConversion"/>
  <printOptions horizontalCentered="1" verticalCentered="1"/>
  <pageMargins left="0.43307086614173229" right="0.39370078740157483" top="0.55118110236220474" bottom="0.51181102362204722" header="0" footer="0"/>
  <pageSetup scale="90" fitToHeight="2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A1:G86"/>
  <sheetViews>
    <sheetView workbookViewId="0">
      <selection activeCell="A27" sqref="A27"/>
    </sheetView>
  </sheetViews>
  <sheetFormatPr baseColWidth="10" defaultRowHeight="11.25"/>
  <cols>
    <col min="1" max="1" width="8.28515625" style="11" customWidth="1"/>
    <col min="2" max="2" width="6.7109375" style="11" customWidth="1"/>
    <col min="3" max="3" width="8.7109375" style="11" customWidth="1"/>
    <col min="4" max="4" width="27.85546875" style="11" customWidth="1"/>
    <col min="5" max="5" width="26.42578125" style="11" customWidth="1"/>
    <col min="6" max="6" width="30.28515625" style="11" customWidth="1"/>
    <col min="7" max="16384" width="11.42578125" style="11"/>
  </cols>
  <sheetData>
    <row r="1" spans="1:6">
      <c r="A1" s="11" t="s">
        <v>27</v>
      </c>
    </row>
    <row r="2" spans="1:6">
      <c r="A2" s="11" t="s">
        <v>104</v>
      </c>
    </row>
    <row r="3" spans="1:6">
      <c r="A3" s="41" t="s">
        <v>106</v>
      </c>
    </row>
    <row r="6" spans="1:6">
      <c r="A6" s="44" t="s">
        <v>97</v>
      </c>
      <c r="B6" s="44" t="s">
        <v>100</v>
      </c>
      <c r="C6" s="44" t="s">
        <v>98</v>
      </c>
      <c r="D6" s="44" t="s">
        <v>99</v>
      </c>
      <c r="E6" s="44" t="s">
        <v>99</v>
      </c>
      <c r="F6" s="44" t="s">
        <v>101</v>
      </c>
    </row>
    <row r="7" spans="1:6">
      <c r="A7" s="45"/>
      <c r="B7" s="45" t="s">
        <v>105</v>
      </c>
      <c r="C7" s="45"/>
      <c r="D7" s="45" t="s">
        <v>102</v>
      </c>
      <c r="E7" s="45" t="s">
        <v>103</v>
      </c>
      <c r="F7" s="45"/>
    </row>
    <row r="9" spans="1:6">
      <c r="A9" s="42">
        <v>38765</v>
      </c>
      <c r="B9" s="11">
        <v>217</v>
      </c>
      <c r="C9" s="43">
        <v>2282.5</v>
      </c>
      <c r="D9" s="11" t="s">
        <v>1</v>
      </c>
      <c r="E9" s="11" t="s">
        <v>1</v>
      </c>
      <c r="F9" s="11" t="s">
        <v>187</v>
      </c>
    </row>
    <row r="10" spans="1:6">
      <c r="A10" s="42">
        <v>38763</v>
      </c>
      <c r="B10" s="11">
        <v>216</v>
      </c>
      <c r="C10" s="43">
        <v>2380.8000000000002</v>
      </c>
      <c r="D10" s="11" t="s">
        <v>1</v>
      </c>
      <c r="E10" s="11" t="s">
        <v>1</v>
      </c>
      <c r="F10" s="11" t="s">
        <v>184</v>
      </c>
    </row>
    <row r="11" spans="1:6">
      <c r="A11" s="42">
        <v>38730</v>
      </c>
      <c r="B11" s="11">
        <v>215</v>
      </c>
      <c r="C11" s="43">
        <v>4171.5</v>
      </c>
      <c r="D11" s="11" t="s">
        <v>1</v>
      </c>
      <c r="E11" s="11" t="s">
        <v>1</v>
      </c>
      <c r="F11" s="11" t="s">
        <v>183</v>
      </c>
    </row>
    <row r="12" spans="1:6">
      <c r="A12" s="42">
        <v>38730</v>
      </c>
      <c r="B12" s="11">
        <v>214</v>
      </c>
      <c r="C12" s="43">
        <v>1829.9</v>
      </c>
      <c r="D12" s="11" t="s">
        <v>1</v>
      </c>
      <c r="E12" s="11" t="s">
        <v>1</v>
      </c>
      <c r="F12" s="11" t="s">
        <v>182</v>
      </c>
    </row>
    <row r="13" spans="1:6">
      <c r="A13" s="42">
        <v>38730</v>
      </c>
      <c r="B13" s="11">
        <v>213</v>
      </c>
      <c r="C13" s="43">
        <v>1222.8499999999999</v>
      </c>
      <c r="D13" s="11" t="s">
        <v>1</v>
      </c>
      <c r="E13" s="11" t="s">
        <v>1</v>
      </c>
      <c r="F13" s="11" t="s">
        <v>181</v>
      </c>
    </row>
    <row r="14" spans="1:6">
      <c r="A14" s="42">
        <v>38730</v>
      </c>
      <c r="B14" s="11">
        <v>212</v>
      </c>
      <c r="C14" s="43">
        <v>3859</v>
      </c>
      <c r="D14" s="11" t="s">
        <v>1</v>
      </c>
      <c r="E14" s="11" t="s">
        <v>1</v>
      </c>
      <c r="F14" s="11" t="s">
        <v>180</v>
      </c>
    </row>
    <row r="15" spans="1:6">
      <c r="A15" s="42">
        <v>38730</v>
      </c>
      <c r="B15" s="11">
        <v>210</v>
      </c>
      <c r="C15" s="43">
        <v>971.8</v>
      </c>
      <c r="D15" s="11" t="s">
        <v>1</v>
      </c>
      <c r="E15" s="11" t="s">
        <v>1</v>
      </c>
      <c r="F15" s="11" t="s">
        <v>179</v>
      </c>
    </row>
    <row r="16" spans="1:6">
      <c r="A16" s="42">
        <v>38716</v>
      </c>
      <c r="B16" s="11">
        <v>209</v>
      </c>
      <c r="C16" s="43">
        <v>2110.5500000000002</v>
      </c>
      <c r="D16" s="11" t="s">
        <v>1</v>
      </c>
      <c r="E16" s="11" t="s">
        <v>1</v>
      </c>
      <c r="F16" s="11" t="s">
        <v>178</v>
      </c>
    </row>
    <row r="17" spans="1:6">
      <c r="A17" s="42">
        <v>38716</v>
      </c>
      <c r="B17" s="11">
        <v>208</v>
      </c>
      <c r="C17" s="43">
        <v>1125.5</v>
      </c>
      <c r="D17" s="11" t="s">
        <v>1</v>
      </c>
      <c r="E17" s="11" t="s">
        <v>1</v>
      </c>
      <c r="F17" s="11" t="s">
        <v>177</v>
      </c>
    </row>
    <row r="18" spans="1:6">
      <c r="A18" s="42">
        <v>38707</v>
      </c>
      <c r="B18" s="11">
        <v>207</v>
      </c>
      <c r="C18" s="43">
        <v>2091.1</v>
      </c>
      <c r="D18" s="11" t="s">
        <v>1</v>
      </c>
      <c r="E18" s="11" t="s">
        <v>1</v>
      </c>
      <c r="F18" s="11" t="s">
        <v>176</v>
      </c>
    </row>
    <row r="19" spans="1:6">
      <c r="A19" s="42">
        <v>38707</v>
      </c>
      <c r="B19" s="11">
        <v>206</v>
      </c>
      <c r="C19" s="43">
        <v>3750</v>
      </c>
      <c r="D19" s="11" t="s">
        <v>174</v>
      </c>
      <c r="E19" s="11" t="s">
        <v>174</v>
      </c>
      <c r="F19" s="11" t="s">
        <v>175</v>
      </c>
    </row>
    <row r="20" spans="1:6">
      <c r="A20" s="42">
        <v>38707</v>
      </c>
      <c r="B20" s="11">
        <v>205</v>
      </c>
      <c r="C20" s="43">
        <v>20720</v>
      </c>
      <c r="D20" s="11" t="s">
        <v>1</v>
      </c>
      <c r="E20" s="11" t="s">
        <v>1</v>
      </c>
      <c r="F20" s="11" t="s">
        <v>173</v>
      </c>
    </row>
    <row r="21" spans="1:6">
      <c r="A21" s="42">
        <v>38664</v>
      </c>
      <c r="B21" s="11">
        <v>204</v>
      </c>
      <c r="C21" s="43">
        <v>2188.5500000000002</v>
      </c>
      <c r="D21" s="11" t="s">
        <v>1</v>
      </c>
      <c r="E21" s="11" t="s">
        <v>1</v>
      </c>
      <c r="F21" s="11" t="s">
        <v>172</v>
      </c>
    </row>
    <row r="22" spans="1:6">
      <c r="A22" s="42">
        <v>38664</v>
      </c>
      <c r="B22" s="11">
        <v>203</v>
      </c>
      <c r="C22" s="43">
        <v>1268</v>
      </c>
      <c r="D22" s="11" t="s">
        <v>1</v>
      </c>
      <c r="E22" s="11" t="s">
        <v>1</v>
      </c>
      <c r="F22" s="11" t="s">
        <v>171</v>
      </c>
    </row>
    <row r="23" spans="1:6">
      <c r="A23" s="42">
        <v>38664</v>
      </c>
      <c r="B23" s="11">
        <v>202</v>
      </c>
      <c r="C23" s="43">
        <v>1484</v>
      </c>
      <c r="D23" s="11" t="s">
        <v>1</v>
      </c>
      <c r="E23" s="11" t="s">
        <v>1</v>
      </c>
      <c r="F23" s="11" t="s">
        <v>171</v>
      </c>
    </row>
    <row r="24" spans="1:6">
      <c r="A24" s="42">
        <v>38664</v>
      </c>
      <c r="B24" s="11">
        <v>200</v>
      </c>
      <c r="C24" s="43">
        <v>2150</v>
      </c>
      <c r="D24" s="11" t="s">
        <v>170</v>
      </c>
      <c r="E24" s="11" t="s">
        <v>170</v>
      </c>
      <c r="F24" s="11" t="s">
        <v>169</v>
      </c>
    </row>
    <row r="25" spans="1:6">
      <c r="A25" s="42">
        <v>38664</v>
      </c>
      <c r="B25" s="11">
        <v>198</v>
      </c>
      <c r="C25" s="43">
        <v>1326.88</v>
      </c>
      <c r="D25" s="11" t="s">
        <v>168</v>
      </c>
      <c r="E25" s="11" t="s">
        <v>168</v>
      </c>
      <c r="F25" s="11" t="s">
        <v>169</v>
      </c>
    </row>
    <row r="26" spans="1:6">
      <c r="A26" s="42">
        <v>38639.737315625003</v>
      </c>
      <c r="B26" s="11">
        <v>197</v>
      </c>
      <c r="C26" s="43">
        <v>5287.67</v>
      </c>
      <c r="D26" s="11" t="s">
        <v>166</v>
      </c>
      <c r="E26" s="11" t="s">
        <v>166</v>
      </c>
      <c r="F26" s="11" t="s">
        <v>167</v>
      </c>
    </row>
    <row r="27" spans="1:6">
      <c r="A27" s="42">
        <v>38638.771258796296</v>
      </c>
      <c r="B27" s="11">
        <v>196</v>
      </c>
      <c r="C27" s="43">
        <v>1167</v>
      </c>
      <c r="D27" s="11" t="s">
        <v>1</v>
      </c>
      <c r="E27" s="11" t="s">
        <v>1</v>
      </c>
      <c r="F27" s="11" t="s">
        <v>165</v>
      </c>
    </row>
    <row r="28" spans="1:6">
      <c r="A28" s="42">
        <v>38624.791947337966</v>
      </c>
      <c r="B28" s="11">
        <v>191</v>
      </c>
      <c r="C28" s="43">
        <v>9288</v>
      </c>
      <c r="D28" s="11" t="s">
        <v>1</v>
      </c>
      <c r="E28" s="11" t="s">
        <v>1</v>
      </c>
      <c r="F28" s="11" t="s">
        <v>164</v>
      </c>
    </row>
    <row r="29" spans="1:6">
      <c r="A29" s="42">
        <v>38624.790249999998</v>
      </c>
      <c r="B29" s="11">
        <v>190</v>
      </c>
      <c r="C29" s="43">
        <v>3382</v>
      </c>
      <c r="D29" s="11" t="s">
        <v>1</v>
      </c>
      <c r="E29" s="11" t="s">
        <v>1</v>
      </c>
      <c r="F29" s="11" t="s">
        <v>163</v>
      </c>
    </row>
    <row r="30" spans="1:6">
      <c r="A30" s="42">
        <v>38617.783006018515</v>
      </c>
      <c r="B30" s="11">
        <v>189</v>
      </c>
      <c r="C30" s="43">
        <v>1461</v>
      </c>
      <c r="D30" s="11" t="s">
        <v>1</v>
      </c>
      <c r="E30" s="11" t="s">
        <v>1</v>
      </c>
      <c r="F30" s="11" t="s">
        <v>162</v>
      </c>
    </row>
    <row r="31" spans="1:6">
      <c r="A31" s="42">
        <v>38610.420614814815</v>
      </c>
      <c r="B31" s="11">
        <v>188</v>
      </c>
      <c r="C31" s="43">
        <v>5521</v>
      </c>
      <c r="D31" s="11" t="s">
        <v>1</v>
      </c>
      <c r="E31" s="11" t="s">
        <v>1</v>
      </c>
      <c r="F31" s="11" t="s">
        <v>161</v>
      </c>
    </row>
    <row r="32" spans="1:6">
      <c r="A32" s="42">
        <v>38610.418814467594</v>
      </c>
      <c r="B32" s="11">
        <v>187</v>
      </c>
      <c r="C32" s="43">
        <v>1521</v>
      </c>
      <c r="D32" s="11" t="s">
        <v>1</v>
      </c>
      <c r="E32" s="11" t="s">
        <v>1</v>
      </c>
      <c r="F32" s="11" t="s">
        <v>160</v>
      </c>
    </row>
    <row r="33" spans="1:7">
      <c r="A33" s="42">
        <v>38604.47139421296</v>
      </c>
      <c r="B33" s="11">
        <v>186</v>
      </c>
      <c r="C33" s="43">
        <v>4338</v>
      </c>
      <c r="D33" s="11" t="s">
        <v>1</v>
      </c>
      <c r="E33" s="11" t="s">
        <v>1</v>
      </c>
      <c r="F33" s="11" t="s">
        <v>158</v>
      </c>
    </row>
    <row r="34" spans="1:7">
      <c r="A34" s="42">
        <v>38603.769757870374</v>
      </c>
      <c r="B34" s="11">
        <v>185</v>
      </c>
      <c r="C34" s="43">
        <v>0</v>
      </c>
      <c r="D34" s="11" t="s">
        <v>159</v>
      </c>
      <c r="E34" s="11" t="s">
        <v>159</v>
      </c>
      <c r="F34" s="11" t="s">
        <v>159</v>
      </c>
      <c r="G34" s="11" t="s">
        <v>158</v>
      </c>
    </row>
    <row r="35" spans="1:7">
      <c r="A35" s="42">
        <v>38597.388174421299</v>
      </c>
      <c r="B35" s="11">
        <v>184</v>
      </c>
      <c r="C35" s="43">
        <v>4216</v>
      </c>
      <c r="D35" s="11" t="s">
        <v>1</v>
      </c>
      <c r="E35" s="11" t="s">
        <v>1</v>
      </c>
      <c r="F35" s="11" t="s">
        <v>157</v>
      </c>
    </row>
    <row r="36" spans="1:7">
      <c r="A36" s="42">
        <v>38595.394525810188</v>
      </c>
      <c r="B36" s="11">
        <v>183</v>
      </c>
      <c r="C36" s="43">
        <v>3137.2</v>
      </c>
      <c r="D36" s="11" t="s">
        <v>1</v>
      </c>
      <c r="E36" s="11" t="s">
        <v>1</v>
      </c>
      <c r="F36" s="11" t="s">
        <v>156</v>
      </c>
    </row>
    <row r="37" spans="1:7">
      <c r="A37" s="42">
        <v>38590.407559837964</v>
      </c>
      <c r="B37" s="11">
        <v>182</v>
      </c>
      <c r="C37" s="43">
        <v>1517.5</v>
      </c>
      <c r="D37" s="11" t="s">
        <v>1</v>
      </c>
      <c r="E37" s="11" t="s">
        <v>1</v>
      </c>
      <c r="F37" s="11" t="s">
        <v>155</v>
      </c>
    </row>
    <row r="38" spans="1:7">
      <c r="A38" s="42">
        <v>38582.764885069446</v>
      </c>
      <c r="B38" s="11">
        <v>181</v>
      </c>
      <c r="C38" s="43">
        <v>1465.65</v>
      </c>
      <c r="D38" s="11" t="s">
        <v>1</v>
      </c>
      <c r="E38" s="11" t="s">
        <v>1</v>
      </c>
      <c r="F38" s="11" t="s">
        <v>154</v>
      </c>
    </row>
    <row r="39" spans="1:7">
      <c r="A39" s="42">
        <v>38579.470006365744</v>
      </c>
      <c r="B39" s="11">
        <v>180</v>
      </c>
      <c r="C39" s="43">
        <v>6632</v>
      </c>
      <c r="D39" s="11" t="s">
        <v>1</v>
      </c>
      <c r="E39" s="11" t="s">
        <v>1</v>
      </c>
      <c r="F39" s="11" t="s">
        <v>153</v>
      </c>
    </row>
    <row r="40" spans="1:7">
      <c r="A40" s="42">
        <v>38576.41405486111</v>
      </c>
      <c r="B40" s="11">
        <v>179</v>
      </c>
      <c r="C40" s="43">
        <v>1240.2</v>
      </c>
      <c r="D40" s="11" t="s">
        <v>1</v>
      </c>
      <c r="E40" s="11" t="s">
        <v>1</v>
      </c>
      <c r="F40" s="11" t="s">
        <v>152</v>
      </c>
    </row>
    <row r="41" spans="1:7">
      <c r="A41" s="42">
        <v>38569.408498726851</v>
      </c>
      <c r="B41" s="11">
        <v>178</v>
      </c>
      <c r="C41" s="43">
        <v>416</v>
      </c>
      <c r="D41" s="11" t="s">
        <v>1</v>
      </c>
      <c r="E41" s="11" t="s">
        <v>1</v>
      </c>
      <c r="F41" s="11" t="s">
        <v>151</v>
      </c>
    </row>
    <row r="42" spans="1:7">
      <c r="A42" s="42">
        <v>38562.401846064815</v>
      </c>
      <c r="B42" s="11">
        <v>177</v>
      </c>
      <c r="C42" s="43">
        <v>1984.55</v>
      </c>
      <c r="D42" s="11" t="s">
        <v>1</v>
      </c>
      <c r="E42" s="11" t="s">
        <v>1</v>
      </c>
      <c r="F42" s="11" t="s">
        <v>150</v>
      </c>
    </row>
    <row r="43" spans="1:7">
      <c r="A43" s="42">
        <v>38555.438945486108</v>
      </c>
      <c r="B43" s="11">
        <v>174</v>
      </c>
      <c r="C43" s="43">
        <v>2562.85</v>
      </c>
      <c r="D43" s="11" t="s">
        <v>1</v>
      </c>
      <c r="E43" s="11" t="s">
        <v>1</v>
      </c>
      <c r="F43" s="11" t="s">
        <v>149</v>
      </c>
    </row>
    <row r="44" spans="1:7">
      <c r="A44" s="42">
        <v>38454</v>
      </c>
      <c r="B44" s="11">
        <v>152</v>
      </c>
      <c r="C44" s="43">
        <v>495.53</v>
      </c>
      <c r="D44" s="11" t="s">
        <v>1</v>
      </c>
      <c r="E44" s="11" t="s">
        <v>1</v>
      </c>
      <c r="F44" s="11" t="s">
        <v>148</v>
      </c>
    </row>
    <row r="45" spans="1:7">
      <c r="A45" s="42">
        <v>38547.765206828706</v>
      </c>
      <c r="B45" s="11">
        <v>173</v>
      </c>
      <c r="C45" s="43">
        <v>1547</v>
      </c>
      <c r="D45" s="11" t="s">
        <v>147</v>
      </c>
      <c r="E45" s="11" t="s">
        <v>147</v>
      </c>
      <c r="F45" s="11" t="s">
        <v>131</v>
      </c>
    </row>
    <row r="46" spans="1:7">
      <c r="A46" s="42">
        <v>38547.545460995367</v>
      </c>
      <c r="B46" s="11">
        <v>172</v>
      </c>
      <c r="C46" s="43">
        <v>3613.6</v>
      </c>
      <c r="D46" s="11" t="s">
        <v>1</v>
      </c>
      <c r="E46" s="11" t="s">
        <v>1</v>
      </c>
      <c r="F46" s="11" t="s">
        <v>146</v>
      </c>
    </row>
    <row r="47" spans="1:7">
      <c r="A47" s="42">
        <v>38541.509514583333</v>
      </c>
      <c r="B47" s="11">
        <v>171</v>
      </c>
      <c r="C47" s="43">
        <v>416</v>
      </c>
      <c r="D47" s="11" t="s">
        <v>1</v>
      </c>
      <c r="E47" s="11" t="s">
        <v>1</v>
      </c>
      <c r="F47" s="11" t="s">
        <v>145</v>
      </c>
    </row>
    <row r="48" spans="1:7">
      <c r="A48" s="42">
        <v>38533.591930208335</v>
      </c>
      <c r="B48" s="11">
        <v>170</v>
      </c>
      <c r="C48" s="43">
        <v>416</v>
      </c>
      <c r="D48" s="11" t="s">
        <v>1</v>
      </c>
      <c r="E48" s="11" t="s">
        <v>1</v>
      </c>
      <c r="F48" s="11" t="s">
        <v>145</v>
      </c>
    </row>
    <row r="49" spans="1:6">
      <c r="A49" s="42">
        <v>38533.256321412038</v>
      </c>
      <c r="B49" s="11">
        <v>169</v>
      </c>
      <c r="C49" s="43">
        <v>3137</v>
      </c>
      <c r="D49" s="11" t="s">
        <v>1</v>
      </c>
      <c r="E49" s="11" t="s">
        <v>1</v>
      </c>
      <c r="F49" s="11" t="s">
        <v>144</v>
      </c>
    </row>
    <row r="50" spans="1:6">
      <c r="A50" s="42">
        <v>38527.484224074076</v>
      </c>
      <c r="B50" s="11">
        <v>168</v>
      </c>
      <c r="C50" s="43">
        <v>2605.35</v>
      </c>
      <c r="D50" s="11" t="s">
        <v>1</v>
      </c>
      <c r="E50" s="11" t="s">
        <v>1</v>
      </c>
      <c r="F50" s="11" t="s">
        <v>143</v>
      </c>
    </row>
    <row r="51" spans="1:6">
      <c r="A51" s="42">
        <v>38520.473815625002</v>
      </c>
      <c r="B51" s="11">
        <v>167</v>
      </c>
      <c r="C51" s="43">
        <v>2647.15</v>
      </c>
      <c r="D51" s="11" t="s">
        <v>1</v>
      </c>
      <c r="E51" s="11" t="s">
        <v>1</v>
      </c>
      <c r="F51" s="11" t="s">
        <v>142</v>
      </c>
    </row>
    <row r="52" spans="1:6">
      <c r="A52" s="42">
        <v>38517.564978587965</v>
      </c>
      <c r="B52" s="11">
        <v>166</v>
      </c>
      <c r="C52" s="43">
        <v>4891.8999999999996</v>
      </c>
      <c r="D52" s="11" t="s">
        <v>1</v>
      </c>
      <c r="E52" s="11" t="s">
        <v>1</v>
      </c>
      <c r="F52" s="11" t="s">
        <v>141</v>
      </c>
    </row>
    <row r="53" spans="1:6">
      <c r="A53" s="42">
        <v>38513.391293865738</v>
      </c>
      <c r="B53" s="11">
        <v>165</v>
      </c>
      <c r="C53" s="43">
        <v>2608.85</v>
      </c>
      <c r="D53" s="11" t="s">
        <v>1</v>
      </c>
      <c r="E53" s="11" t="s">
        <v>1</v>
      </c>
      <c r="F53" s="11" t="s">
        <v>140</v>
      </c>
    </row>
    <row r="54" spans="1:6">
      <c r="A54" s="42">
        <v>38387.428009374999</v>
      </c>
      <c r="B54" s="11">
        <v>134</v>
      </c>
      <c r="C54" s="43">
        <v>869.25</v>
      </c>
      <c r="D54" s="11" t="s">
        <v>1</v>
      </c>
      <c r="E54" s="11" t="s">
        <v>1</v>
      </c>
      <c r="F54" s="11" t="s">
        <v>139</v>
      </c>
    </row>
    <row r="55" spans="1:6">
      <c r="A55" s="42">
        <v>38359.465479513892</v>
      </c>
      <c r="B55" s="11">
        <v>133</v>
      </c>
      <c r="C55" s="43">
        <v>1492</v>
      </c>
      <c r="D55" s="11" t="s">
        <v>1</v>
      </c>
      <c r="E55" s="11" t="s">
        <v>1</v>
      </c>
      <c r="F55" s="11" t="s">
        <v>138</v>
      </c>
    </row>
    <row r="56" spans="1:6">
      <c r="A56" s="42">
        <v>38338.414449074073</v>
      </c>
      <c r="B56" s="11">
        <v>132</v>
      </c>
      <c r="C56" s="43">
        <v>1088</v>
      </c>
      <c r="D56" s="11" t="s">
        <v>1</v>
      </c>
      <c r="E56" s="11" t="s">
        <v>1</v>
      </c>
      <c r="F56" s="11" t="s">
        <v>136</v>
      </c>
    </row>
    <row r="57" spans="1:6">
      <c r="A57" s="42">
        <v>38324.41667337963</v>
      </c>
      <c r="B57" s="11">
        <v>131</v>
      </c>
      <c r="C57" s="43">
        <v>600</v>
      </c>
      <c r="D57" s="11" t="s">
        <v>1</v>
      </c>
      <c r="E57" s="11" t="s">
        <v>1</v>
      </c>
      <c r="F57" s="11" t="s">
        <v>136</v>
      </c>
    </row>
    <row r="58" spans="1:6">
      <c r="A58" s="42">
        <v>38310.627067939815</v>
      </c>
      <c r="B58" s="11">
        <v>130</v>
      </c>
      <c r="C58" s="43">
        <v>1166</v>
      </c>
      <c r="D58" s="11" t="s">
        <v>1</v>
      </c>
      <c r="E58" s="11" t="s">
        <v>1</v>
      </c>
      <c r="F58" s="11" t="s">
        <v>136</v>
      </c>
    </row>
    <row r="59" spans="1:6">
      <c r="A59" s="42">
        <v>38302.740382291668</v>
      </c>
      <c r="B59" s="11">
        <v>129</v>
      </c>
      <c r="C59" s="43">
        <v>0</v>
      </c>
      <c r="D59" s="11" t="s">
        <v>137</v>
      </c>
      <c r="E59" s="11" t="s">
        <v>137</v>
      </c>
      <c r="F59" s="11" t="s">
        <v>137</v>
      </c>
    </row>
    <row r="60" spans="1:6">
      <c r="A60" s="42">
        <v>38296.479563078705</v>
      </c>
      <c r="B60" s="11">
        <v>128</v>
      </c>
      <c r="C60" s="43">
        <v>4042</v>
      </c>
      <c r="D60" s="11" t="s">
        <v>1</v>
      </c>
      <c r="E60" s="11" t="s">
        <v>1</v>
      </c>
      <c r="F60" s="11" t="s">
        <v>135</v>
      </c>
    </row>
    <row r="61" spans="1:6">
      <c r="A61" s="42">
        <v>38289.565096759259</v>
      </c>
      <c r="B61" s="11">
        <v>127</v>
      </c>
      <c r="C61" s="43">
        <v>8433</v>
      </c>
      <c r="D61" s="11" t="s">
        <v>1</v>
      </c>
      <c r="E61" s="11" t="s">
        <v>1</v>
      </c>
      <c r="F61" s="11" t="s">
        <v>134</v>
      </c>
    </row>
    <row r="62" spans="1:6">
      <c r="A62" s="42">
        <v>38289.563381018517</v>
      </c>
      <c r="B62" s="11">
        <v>126</v>
      </c>
      <c r="C62" s="43">
        <v>3535</v>
      </c>
      <c r="D62" s="11" t="s">
        <v>1</v>
      </c>
      <c r="E62" s="11" t="s">
        <v>1</v>
      </c>
      <c r="F62" s="11" t="s">
        <v>133</v>
      </c>
    </row>
    <row r="63" spans="1:6">
      <c r="A63" s="42">
        <v>38282.440776967589</v>
      </c>
      <c r="B63" s="11">
        <v>125</v>
      </c>
      <c r="C63" s="43">
        <v>5285</v>
      </c>
      <c r="D63" s="11" t="s">
        <v>1</v>
      </c>
      <c r="E63" s="11" t="s">
        <v>1</v>
      </c>
      <c r="F63" s="11" t="s">
        <v>132</v>
      </c>
    </row>
    <row r="64" spans="1:6">
      <c r="A64" s="42">
        <v>38279.699046412039</v>
      </c>
      <c r="B64" s="11">
        <v>124</v>
      </c>
      <c r="C64" s="43">
        <v>1949</v>
      </c>
      <c r="D64" s="11" t="s">
        <v>130</v>
      </c>
      <c r="E64" s="11" t="s">
        <v>130</v>
      </c>
      <c r="F64" s="11" t="s">
        <v>131</v>
      </c>
    </row>
    <row r="65" spans="1:6">
      <c r="A65" s="42">
        <v>38278.567035763888</v>
      </c>
      <c r="B65" s="11">
        <v>123</v>
      </c>
      <c r="C65" s="43">
        <v>5549.55</v>
      </c>
      <c r="D65" s="11" t="s">
        <v>111</v>
      </c>
      <c r="E65" s="11" t="s">
        <v>111</v>
      </c>
      <c r="F65" s="11" t="s">
        <v>129</v>
      </c>
    </row>
    <row r="66" spans="1:6">
      <c r="A66" s="42">
        <v>38275.54570949074</v>
      </c>
      <c r="B66" s="11">
        <v>122</v>
      </c>
      <c r="C66" s="43">
        <v>8041</v>
      </c>
      <c r="D66" s="11" t="s">
        <v>1</v>
      </c>
      <c r="E66" s="11" t="s">
        <v>1</v>
      </c>
      <c r="F66" s="11" t="s">
        <v>128</v>
      </c>
    </row>
    <row r="67" spans="1:6">
      <c r="A67" s="42">
        <v>38275.544399999999</v>
      </c>
      <c r="B67" s="11">
        <v>121</v>
      </c>
      <c r="C67" s="43">
        <v>3613</v>
      </c>
      <c r="D67" s="11" t="s">
        <v>1</v>
      </c>
      <c r="E67" s="11" t="s">
        <v>1</v>
      </c>
      <c r="F67" s="11" t="s">
        <v>127</v>
      </c>
    </row>
    <row r="68" spans="1:6">
      <c r="A68" s="42">
        <v>38268.51775914352</v>
      </c>
      <c r="B68" s="11">
        <v>120</v>
      </c>
      <c r="C68" s="43">
        <v>25000</v>
      </c>
      <c r="D68" s="11" t="s">
        <v>125</v>
      </c>
      <c r="E68" s="11" t="s">
        <v>125</v>
      </c>
      <c r="F68" s="11" t="s">
        <v>126</v>
      </c>
    </row>
    <row r="69" spans="1:6">
      <c r="A69" s="42">
        <v>38268.41699189815</v>
      </c>
      <c r="B69" s="11">
        <v>119</v>
      </c>
      <c r="C69" s="43">
        <v>3491</v>
      </c>
      <c r="D69" s="11" t="s">
        <v>1</v>
      </c>
      <c r="E69" s="11" t="s">
        <v>1</v>
      </c>
      <c r="F69" s="11" t="s">
        <v>124</v>
      </c>
    </row>
    <row r="70" spans="1:6">
      <c r="A70" s="42">
        <v>38261.471726041666</v>
      </c>
      <c r="B70" s="11">
        <v>118</v>
      </c>
      <c r="C70" s="43">
        <v>3282</v>
      </c>
      <c r="D70" s="11" t="s">
        <v>1</v>
      </c>
      <c r="E70" s="11" t="s">
        <v>1</v>
      </c>
      <c r="F70" s="11" t="s">
        <v>123</v>
      </c>
    </row>
    <row r="71" spans="1:6">
      <c r="A71" s="42">
        <v>38260.450449421296</v>
      </c>
      <c r="B71" s="11">
        <v>117</v>
      </c>
      <c r="C71" s="43">
        <v>7990</v>
      </c>
      <c r="D71" s="11" t="s">
        <v>1</v>
      </c>
      <c r="E71" s="11" t="s">
        <v>1</v>
      </c>
      <c r="F71" s="11" t="s">
        <v>122</v>
      </c>
    </row>
    <row r="72" spans="1:6">
      <c r="A72" s="42">
        <v>38254.40963101852</v>
      </c>
      <c r="B72" s="11">
        <v>116</v>
      </c>
      <c r="C72" s="43">
        <v>2942</v>
      </c>
      <c r="D72" s="11" t="s">
        <v>1</v>
      </c>
      <c r="E72" s="11" t="s">
        <v>1</v>
      </c>
      <c r="F72" s="11" t="s">
        <v>121</v>
      </c>
    </row>
    <row r="73" spans="1:6">
      <c r="A73" s="42">
        <v>38250</v>
      </c>
      <c r="B73" s="11">
        <v>115</v>
      </c>
      <c r="C73" s="43">
        <v>16213.82</v>
      </c>
      <c r="D73" s="11" t="s">
        <v>111</v>
      </c>
      <c r="E73" s="11" t="s">
        <v>111</v>
      </c>
      <c r="F73" s="11" t="s">
        <v>120</v>
      </c>
    </row>
    <row r="74" spans="1:6">
      <c r="A74" s="42">
        <v>38245.7679244213</v>
      </c>
      <c r="B74" s="11">
        <v>114</v>
      </c>
      <c r="C74" s="43">
        <v>3071</v>
      </c>
      <c r="D74" s="11" t="s">
        <v>1</v>
      </c>
      <c r="E74" s="11" t="s">
        <v>1</v>
      </c>
      <c r="F74" s="11" t="s">
        <v>119</v>
      </c>
    </row>
    <row r="75" spans="1:6">
      <c r="A75" s="42">
        <v>38244.763748495374</v>
      </c>
      <c r="B75" s="11">
        <v>113</v>
      </c>
      <c r="C75" s="43">
        <v>9198</v>
      </c>
      <c r="D75" s="11" t="s">
        <v>1</v>
      </c>
      <c r="E75" s="11" t="s">
        <v>1</v>
      </c>
      <c r="F75" s="11" t="s">
        <v>117</v>
      </c>
    </row>
    <row r="76" spans="1:6">
      <c r="A76" s="42">
        <v>38240</v>
      </c>
      <c r="B76" s="11">
        <v>112</v>
      </c>
      <c r="C76" s="43">
        <v>2973.4</v>
      </c>
      <c r="D76" s="11" t="s">
        <v>1</v>
      </c>
      <c r="E76" s="11" t="s">
        <v>1</v>
      </c>
      <c r="F76" s="11" t="s">
        <v>118</v>
      </c>
    </row>
    <row r="77" spans="1:6">
      <c r="A77" s="42">
        <v>38232.762220833334</v>
      </c>
      <c r="B77" s="11">
        <v>111</v>
      </c>
      <c r="C77" s="43">
        <v>2874</v>
      </c>
      <c r="D77" s="11" t="s">
        <v>1</v>
      </c>
      <c r="E77" s="11" t="s">
        <v>1</v>
      </c>
      <c r="F77" s="11" t="s">
        <v>116</v>
      </c>
    </row>
    <row r="78" spans="1:6">
      <c r="A78" s="42">
        <v>38230.501822569444</v>
      </c>
      <c r="B78" s="11">
        <v>110</v>
      </c>
      <c r="C78" s="43">
        <v>9505</v>
      </c>
      <c r="D78" s="11" t="s">
        <v>1</v>
      </c>
      <c r="E78" s="11" t="s">
        <v>1</v>
      </c>
      <c r="F78" s="11" t="s">
        <v>115</v>
      </c>
    </row>
    <row r="79" spans="1:6">
      <c r="A79" s="42">
        <v>38225.799642708334</v>
      </c>
      <c r="B79" s="11">
        <v>109</v>
      </c>
      <c r="C79" s="43">
        <v>2784</v>
      </c>
      <c r="D79" s="11" t="s">
        <v>1</v>
      </c>
      <c r="E79" s="11" t="s">
        <v>1</v>
      </c>
      <c r="F79" s="11" t="s">
        <v>114</v>
      </c>
    </row>
    <row r="80" spans="1:6">
      <c r="A80" s="42">
        <v>38218.809269907404</v>
      </c>
      <c r="B80" s="11">
        <v>108</v>
      </c>
      <c r="C80" s="43">
        <v>2256</v>
      </c>
      <c r="D80" s="11" t="s">
        <v>1</v>
      </c>
      <c r="E80" s="11" t="s">
        <v>1</v>
      </c>
      <c r="F80" s="11" t="s">
        <v>113</v>
      </c>
    </row>
    <row r="81" spans="1:6">
      <c r="A81" s="42">
        <v>38216.398860069443</v>
      </c>
      <c r="B81" s="11">
        <v>107</v>
      </c>
      <c r="C81" s="43">
        <v>5322.75</v>
      </c>
      <c r="D81" s="11" t="s">
        <v>111</v>
      </c>
      <c r="E81" s="11" t="s">
        <v>111</v>
      </c>
      <c r="F81" s="11" t="s">
        <v>112</v>
      </c>
    </row>
    <row r="82" spans="1:6">
      <c r="A82" s="42">
        <v>38212.485576273146</v>
      </c>
      <c r="B82" s="11">
        <v>106</v>
      </c>
      <c r="C82" s="43">
        <v>9592</v>
      </c>
      <c r="D82" s="11" t="s">
        <v>1</v>
      </c>
      <c r="E82" s="11" t="s">
        <v>1</v>
      </c>
      <c r="F82" s="11" t="s">
        <v>110</v>
      </c>
    </row>
    <row r="83" spans="1:6">
      <c r="A83" s="42">
        <v>38212.484400810186</v>
      </c>
      <c r="B83" s="11">
        <v>105</v>
      </c>
      <c r="C83" s="43">
        <v>2988</v>
      </c>
      <c r="D83" s="11" t="s">
        <v>1</v>
      </c>
      <c r="E83" s="11" t="s">
        <v>1</v>
      </c>
      <c r="F83" s="11" t="s">
        <v>109</v>
      </c>
    </row>
    <row r="84" spans="1:6">
      <c r="A84" s="42">
        <v>38205.398021643516</v>
      </c>
      <c r="B84" s="11">
        <v>104</v>
      </c>
      <c r="C84" s="43">
        <v>2777</v>
      </c>
      <c r="D84" s="11" t="s">
        <v>1</v>
      </c>
      <c r="E84" s="11" t="s">
        <v>1</v>
      </c>
      <c r="F84" s="11" t="s">
        <v>108</v>
      </c>
    </row>
    <row r="85" spans="1:6">
      <c r="A85" s="42">
        <v>38198.491105671295</v>
      </c>
      <c r="B85" s="11">
        <v>103</v>
      </c>
      <c r="C85" s="43">
        <v>9057</v>
      </c>
      <c r="D85" s="11" t="s">
        <v>1</v>
      </c>
      <c r="E85" s="11" t="s">
        <v>1</v>
      </c>
      <c r="F85" s="11" t="s">
        <v>107</v>
      </c>
    </row>
    <row r="86" spans="1:6">
      <c r="A86" s="42"/>
      <c r="C86" s="43"/>
    </row>
  </sheetData>
  <phoneticPr fontId="0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A1:G10"/>
  <sheetViews>
    <sheetView workbookViewId="0">
      <selection activeCell="B1" sqref="B1"/>
    </sheetView>
  </sheetViews>
  <sheetFormatPr baseColWidth="10" defaultRowHeight="12.75"/>
  <sheetData>
    <row r="1" spans="1:7">
      <c r="A1" s="67"/>
      <c r="B1" s="67"/>
      <c r="C1" s="67"/>
    </row>
    <row r="2" spans="1:7">
      <c r="A2" s="67"/>
      <c r="B2" s="68"/>
      <c r="C2" s="67"/>
      <c r="D2" s="67"/>
      <c r="E2" s="67"/>
      <c r="F2" s="67"/>
      <c r="G2" s="67"/>
    </row>
    <row r="3" spans="1:7">
      <c r="A3" s="67"/>
      <c r="B3" s="67"/>
      <c r="C3" s="67"/>
      <c r="D3" s="67"/>
      <c r="E3" s="67"/>
      <c r="F3" s="67"/>
      <c r="G3" s="67"/>
    </row>
    <row r="4" spans="1:7">
      <c r="A4" s="67"/>
      <c r="B4" s="67"/>
      <c r="C4" s="67"/>
      <c r="D4" s="67"/>
      <c r="E4" s="67"/>
      <c r="F4" s="67"/>
      <c r="G4" s="67"/>
    </row>
    <row r="5" spans="1:7">
      <c r="A5" s="67"/>
      <c r="B5" s="67"/>
      <c r="C5" s="67"/>
      <c r="D5" s="67"/>
      <c r="E5" s="67"/>
      <c r="F5" s="67"/>
      <c r="G5" s="67"/>
    </row>
    <row r="6" spans="1:7">
      <c r="A6" s="67"/>
      <c r="B6" s="67"/>
      <c r="C6" s="68"/>
      <c r="D6" s="67"/>
      <c r="E6" s="67"/>
      <c r="F6" s="67"/>
      <c r="G6" s="67"/>
    </row>
    <row r="7" spans="1:7">
      <c r="A7" s="67"/>
      <c r="B7" s="67"/>
      <c r="C7" s="67"/>
      <c r="D7" s="67"/>
      <c r="E7" s="67"/>
      <c r="F7" s="67"/>
      <c r="G7" s="67"/>
    </row>
    <row r="8" spans="1:7">
      <c r="A8" s="67"/>
      <c r="B8" s="67"/>
      <c r="C8" s="67"/>
      <c r="D8" s="67"/>
      <c r="E8" s="67"/>
      <c r="F8" s="67"/>
      <c r="G8" s="67"/>
    </row>
    <row r="9" spans="1:7">
      <c r="A9" s="67"/>
      <c r="B9" s="67"/>
      <c r="C9" s="67"/>
      <c r="D9" s="67"/>
      <c r="E9" s="67"/>
      <c r="F9" s="67"/>
      <c r="G9" s="67"/>
    </row>
    <row r="10" spans="1:7">
      <c r="A10" s="67"/>
      <c r="B10" s="67"/>
      <c r="C10" s="67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DATOS</vt:lpstr>
      <vt:lpstr>CHEQUE</vt:lpstr>
      <vt:lpstr>POLIZA</vt:lpstr>
      <vt:lpstr>CONSECUTIVO</vt:lpstr>
      <vt:lpstr>Hoja1</vt:lpstr>
      <vt:lpstr>CHEQUE!Área_de_impresión</vt:lpstr>
      <vt:lpstr>POLIZA!Área_de_impresión</vt:lpstr>
    </vt:vector>
  </TitlesOfParts>
  <Company>MEDI@TECHNOLOGIES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PERSONAL</dc:creator>
  <cp:lastModifiedBy>Winxp</cp:lastModifiedBy>
  <cp:lastPrinted>2009-01-06T14:50:32Z</cp:lastPrinted>
  <dcterms:created xsi:type="dcterms:W3CDTF">2000-07-27T15:01:19Z</dcterms:created>
  <dcterms:modified xsi:type="dcterms:W3CDTF">2009-01-06T14:52:33Z</dcterms:modified>
</cp:coreProperties>
</file>